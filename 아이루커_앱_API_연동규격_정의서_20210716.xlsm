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flora-cho\Desktop\AI_Looker_PRJ_관련자료\doc\6.설계_20210722 (1)\"/>
    </mc:Choice>
  </mc:AlternateContent>
  <bookViews>
    <workbookView xWindow="-120" yWindow="-120" windowWidth="29040" windowHeight="15840"/>
  </bookViews>
  <sheets>
    <sheet name="API목록" sheetId="4" r:id="rId1"/>
    <sheet name="API연동규격" sheetId="2" r:id="rId2"/>
    <sheet name="코드" sheetId="10" r:id="rId3"/>
    <sheet name="샘플" sheetId="1" r:id="rId4"/>
  </sheets>
  <functionGroups builtInGroupCount="18"/>
  <definedNames>
    <definedName name="_xlnm._FilterDatabase" localSheetId="0" hidden="1">API목록!$A$10:$G$10</definedName>
    <definedName name="_xlnm._FilterDatabase" localSheetId="1" hidden="1">API연동규격!$A$10:$P$334</definedName>
    <definedName name="_xlnm._FilterDatabase" localSheetId="2" hidden="1">코드!$A$10:$G$233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N333" i="2" l="1"/>
  <c r="N332" i="2"/>
  <c r="N331" i="2"/>
  <c r="N330" i="2"/>
  <c r="N329" i="2"/>
  <c r="N328" i="2"/>
  <c r="N327" i="2"/>
  <c r="N326" i="2"/>
  <c r="N325" i="2"/>
  <c r="N324" i="2"/>
  <c r="N323" i="2"/>
  <c r="N322" i="2"/>
  <c r="N321" i="2"/>
  <c r="N320" i="2"/>
  <c r="N319" i="2"/>
  <c r="N318" i="2"/>
  <c r="N317" i="2"/>
  <c r="N316" i="2"/>
  <c r="N315" i="2"/>
  <c r="N314" i="2"/>
  <c r="N313" i="2"/>
  <c r="N312" i="2"/>
  <c r="N311" i="2"/>
  <c r="N310" i="2"/>
  <c r="N309" i="2"/>
  <c r="N308" i="2"/>
  <c r="N307" i="2"/>
  <c r="N306" i="2"/>
  <c r="N305" i="2"/>
  <c r="N304" i="2"/>
  <c r="N303" i="2"/>
  <c r="N302" i="2"/>
  <c r="N301" i="2"/>
  <c r="N300" i="2"/>
  <c r="N299" i="2"/>
  <c r="N298" i="2"/>
  <c r="N297" i="2"/>
  <c r="N296" i="2"/>
  <c r="N295" i="2"/>
  <c r="N294" i="2"/>
  <c r="N293" i="2"/>
  <c r="N292" i="2"/>
  <c r="N291" i="2"/>
  <c r="N290" i="2"/>
  <c r="N289" i="2"/>
  <c r="N288" i="2"/>
  <c r="N287" i="2"/>
  <c r="N286" i="2"/>
  <c r="N285" i="2"/>
  <c r="N284" i="2"/>
  <c r="N283" i="2"/>
  <c r="N282" i="2"/>
  <c r="N281" i="2"/>
  <c r="N280" i="2"/>
  <c r="N279" i="2"/>
  <c r="N278" i="2"/>
  <c r="N277" i="2"/>
  <c r="N276" i="2"/>
  <c r="N275" i="2"/>
  <c r="N274" i="2"/>
  <c r="N273" i="2"/>
  <c r="N272" i="2"/>
  <c r="N271" i="2"/>
  <c r="N270" i="2"/>
  <c r="N269" i="2"/>
  <c r="N268" i="2"/>
  <c r="N267" i="2"/>
  <c r="N266" i="2"/>
  <c r="N265" i="2"/>
  <c r="N264" i="2"/>
  <c r="N263" i="2"/>
  <c r="N262" i="2"/>
  <c r="N261" i="2"/>
  <c r="N260" i="2"/>
  <c r="N259" i="2"/>
  <c r="N258" i="2"/>
  <c r="N257" i="2"/>
  <c r="N256" i="2"/>
  <c r="N255" i="2"/>
  <c r="N254" i="2"/>
  <c r="N253" i="2"/>
  <c r="N252" i="2"/>
  <c r="N251" i="2"/>
  <c r="N250" i="2"/>
  <c r="N249" i="2"/>
  <c r="N248" i="2"/>
  <c r="N247" i="2"/>
  <c r="N246" i="2"/>
  <c r="N245" i="2"/>
  <c r="N244" i="2"/>
  <c r="N243" i="2"/>
  <c r="N242" i="2"/>
  <c r="N241" i="2"/>
  <c r="N240" i="2"/>
  <c r="N239" i="2"/>
  <c r="N238" i="2"/>
  <c r="N237" i="2"/>
  <c r="N236" i="2"/>
  <c r="N235" i="2"/>
  <c r="N234" i="2"/>
  <c r="N233" i="2"/>
  <c r="N232" i="2"/>
  <c r="N231" i="2"/>
  <c r="N230" i="2"/>
  <c r="N229" i="2"/>
  <c r="N228" i="2"/>
  <c r="N227" i="2"/>
  <c r="N226" i="2"/>
  <c r="N225" i="2"/>
  <c r="N224" i="2"/>
  <c r="N223" i="2"/>
  <c r="N222" i="2"/>
  <c r="N221" i="2"/>
  <c r="N220" i="2"/>
  <c r="N219" i="2"/>
  <c r="N218" i="2"/>
  <c r="N217" i="2"/>
  <c r="N216" i="2"/>
  <c r="N215" i="2"/>
  <c r="N214" i="2"/>
  <c r="N213" i="2"/>
  <c r="N212" i="2"/>
  <c r="N211" i="2"/>
  <c r="N210" i="2"/>
  <c r="N209" i="2"/>
  <c r="N208" i="2"/>
  <c r="N207" i="2"/>
  <c r="N206" i="2"/>
  <c r="N205" i="2"/>
  <c r="N204" i="2"/>
  <c r="N203" i="2"/>
  <c r="N202" i="2"/>
  <c r="N201" i="2"/>
  <c r="N200" i="2"/>
  <c r="N199" i="2"/>
  <c r="N198" i="2"/>
  <c r="N197" i="2"/>
  <c r="N196" i="2"/>
  <c r="N195" i="2"/>
  <c r="N194" i="2"/>
  <c r="N193" i="2"/>
  <c r="N192" i="2"/>
  <c r="N191" i="2"/>
  <c r="N190" i="2"/>
  <c r="N189" i="2"/>
  <c r="N188" i="2"/>
  <c r="N187" i="2"/>
  <c r="N186" i="2"/>
  <c r="N185" i="2"/>
  <c r="N184" i="2"/>
  <c r="N183" i="2"/>
  <c r="N182" i="2"/>
  <c r="N181" i="2"/>
  <c r="N180" i="2"/>
  <c r="N179" i="2"/>
  <c r="N178" i="2"/>
  <c r="N177" i="2"/>
  <c r="N176" i="2"/>
  <c r="N175" i="2"/>
  <c r="N174" i="2"/>
  <c r="N173" i="2"/>
  <c r="N172" i="2"/>
  <c r="N171" i="2"/>
  <c r="N170" i="2"/>
  <c r="N169" i="2"/>
  <c r="N168" i="2"/>
  <c r="N167" i="2"/>
  <c r="N166" i="2"/>
  <c r="N165" i="2"/>
  <c r="N164" i="2"/>
  <c r="N163" i="2"/>
  <c r="N162" i="2"/>
  <c r="N161" i="2"/>
  <c r="N160" i="2"/>
  <c r="N159" i="2"/>
  <c r="N158" i="2"/>
  <c r="N157" i="2"/>
  <c r="N156" i="2"/>
  <c r="N155" i="2"/>
  <c r="N154" i="2"/>
  <c r="N153" i="2"/>
  <c r="N152" i="2"/>
  <c r="N151" i="2"/>
  <c r="N150" i="2"/>
  <c r="N149" i="2"/>
  <c r="N148" i="2"/>
  <c r="N147" i="2"/>
  <c r="N146" i="2"/>
  <c r="N145" i="2"/>
  <c r="N144" i="2"/>
  <c r="N143" i="2"/>
  <c r="N142" i="2"/>
  <c r="N141" i="2"/>
  <c r="N140" i="2"/>
  <c r="N139" i="2"/>
  <c r="N138" i="2"/>
  <c r="N137" i="2"/>
  <c r="N136" i="2"/>
  <c r="N135" i="2"/>
  <c r="N134" i="2"/>
  <c r="N133" i="2"/>
  <c r="N132" i="2"/>
  <c r="N131" i="2"/>
  <c r="N130" i="2"/>
  <c r="N129" i="2"/>
  <c r="N128" i="2"/>
  <c r="N127" i="2"/>
  <c r="N126" i="2"/>
  <c r="N125" i="2"/>
  <c r="N124" i="2"/>
  <c r="N123" i="2"/>
  <c r="N122" i="2"/>
  <c r="N121" i="2"/>
  <c r="N120" i="2"/>
  <c r="N119" i="2"/>
  <c r="N118" i="2"/>
  <c r="N117" i="2"/>
  <c r="N116" i="2"/>
  <c r="N115" i="2"/>
  <c r="N114" i="2"/>
  <c r="N113" i="2"/>
  <c r="N112" i="2"/>
  <c r="N111" i="2"/>
  <c r="N110" i="2"/>
  <c r="N109" i="2"/>
  <c r="N108" i="2"/>
  <c r="N107" i="2"/>
  <c r="N106" i="2"/>
  <c r="N105" i="2"/>
  <c r="N104" i="2"/>
  <c r="N103" i="2"/>
  <c r="N102" i="2"/>
  <c r="N101" i="2"/>
  <c r="N100" i="2"/>
  <c r="N99" i="2"/>
  <c r="N98" i="2"/>
  <c r="N97" i="2"/>
  <c r="N96" i="2"/>
  <c r="N95" i="2"/>
  <c r="N94" i="2"/>
  <c r="N93" i="2"/>
  <c r="N92" i="2"/>
  <c r="N91" i="2"/>
  <c r="N90" i="2"/>
  <c r="N89" i="2"/>
  <c r="N88" i="2"/>
  <c r="N87" i="2"/>
  <c r="N86" i="2"/>
  <c r="N85" i="2"/>
  <c r="N84" i="2"/>
  <c r="N83" i="2"/>
  <c r="N82" i="2"/>
  <c r="N81" i="2"/>
  <c r="N80" i="2"/>
  <c r="N79" i="2"/>
  <c r="N78" i="2"/>
  <c r="N77" i="2"/>
  <c r="N76" i="2"/>
  <c r="N75" i="2"/>
  <c r="N74" i="2"/>
  <c r="N73" i="2"/>
  <c r="N72" i="2"/>
  <c r="N71" i="2"/>
  <c r="N70" i="2"/>
  <c r="N69" i="2"/>
  <c r="N68" i="2"/>
  <c r="N67" i="2"/>
  <c r="N66" i="2"/>
  <c r="N65" i="2"/>
  <c r="N64" i="2"/>
  <c r="N63" i="2"/>
  <c r="N62" i="2"/>
  <c r="N61" i="2"/>
  <c r="N60" i="2"/>
  <c r="N59" i="2"/>
  <c r="N58" i="2"/>
  <c r="N57" i="2"/>
  <c r="N56" i="2"/>
  <c r="N55" i="2"/>
  <c r="N54" i="2"/>
  <c r="N53" i="2"/>
  <c r="N52" i="2"/>
  <c r="N51" i="2"/>
  <c r="N50" i="2"/>
  <c r="N49" i="2"/>
  <c r="N48" i="2"/>
  <c r="N47" i="2"/>
  <c r="N46" i="2"/>
  <c r="N45" i="2"/>
  <c r="N44" i="2"/>
  <c r="N43" i="2"/>
  <c r="N42" i="2"/>
  <c r="N41" i="2"/>
  <c r="N40" i="2"/>
  <c r="N39" i="2"/>
  <c r="N38" i="2"/>
  <c r="N37" i="2"/>
  <c r="N36" i="2"/>
  <c r="N35" i="2"/>
  <c r="N34" i="2"/>
  <c r="N33" i="2"/>
  <c r="N32" i="2"/>
  <c r="N31" i="2"/>
  <c r="N30" i="2"/>
  <c r="N29" i="2"/>
  <c r="N28" i="2"/>
  <c r="N27" i="2"/>
  <c r="N26" i="2"/>
  <c r="N25" i="2"/>
  <c r="N24" i="2"/>
  <c r="N23" i="2"/>
  <c r="N22" i="2"/>
  <c r="N21" i="2"/>
  <c r="N20" i="2"/>
  <c r="N19" i="2"/>
  <c r="N18" i="2"/>
  <c r="N17" i="2"/>
  <c r="N16" i="2"/>
  <c r="N15" i="2"/>
  <c r="N14" i="2"/>
  <c r="N13" i="2"/>
  <c r="N12" i="2"/>
  <c r="N11" i="2"/>
  <c r="C132" i="2"/>
  <c r="C99" i="2" l="1"/>
  <c r="C98" i="2"/>
  <c r="C97" i="2"/>
  <c r="C96" i="2"/>
  <c r="C95" i="2"/>
  <c r="C94" i="2"/>
  <c r="C105" i="2"/>
  <c r="C104" i="2"/>
  <c r="C103" i="2"/>
  <c r="C102" i="2"/>
  <c r="C101" i="2"/>
  <c r="C100" i="2"/>
  <c r="C93" i="2"/>
  <c r="C92" i="2"/>
  <c r="C91" i="2"/>
  <c r="C90" i="2"/>
  <c r="C89" i="2"/>
  <c r="C88" i="2"/>
  <c r="C87" i="2"/>
  <c r="C86" i="2"/>
  <c r="C85" i="2"/>
  <c r="C84" i="2"/>
  <c r="C83" i="2"/>
  <c r="C82" i="2"/>
  <c r="C81" i="2"/>
  <c r="C80" i="2"/>
  <c r="C79" i="2"/>
  <c r="C78" i="2"/>
  <c r="C77" i="2"/>
  <c r="C76" i="2"/>
  <c r="C75" i="2"/>
  <c r="C74" i="2"/>
  <c r="C73" i="2"/>
  <c r="C72" i="2"/>
  <c r="C71" i="2"/>
  <c r="C70" i="2"/>
  <c r="C69" i="2"/>
  <c r="C68" i="2"/>
  <c r="C67" i="2"/>
  <c r="C66" i="2"/>
  <c r="C65" i="2"/>
  <c r="C64" i="2"/>
  <c r="C63" i="2"/>
  <c r="C62" i="2"/>
  <c r="C61" i="2"/>
  <c r="C60" i="2"/>
  <c r="C59" i="2"/>
  <c r="C58" i="2"/>
  <c r="C149" i="2"/>
  <c r="C148" i="2"/>
  <c r="C147" i="2"/>
  <c r="C146" i="2"/>
  <c r="C145" i="2"/>
  <c r="C144" i="2"/>
  <c r="C143" i="2"/>
  <c r="C142" i="2"/>
  <c r="C141" i="2"/>
  <c r="C140" i="2"/>
  <c r="C139" i="2"/>
  <c r="C138" i="2"/>
  <c r="C137" i="2"/>
  <c r="C136" i="2"/>
  <c r="C135" i="2"/>
  <c r="C134" i="2"/>
  <c r="C133" i="2"/>
  <c r="C131" i="2"/>
  <c r="C130" i="2"/>
  <c r="C57" i="2"/>
  <c r="C56" i="2"/>
  <c r="C55" i="2"/>
  <c r="C54" i="2"/>
  <c r="C53" i="2"/>
  <c r="C52" i="2"/>
  <c r="C51" i="2"/>
  <c r="C50" i="2"/>
  <c r="C49" i="2"/>
  <c r="C48" i="2"/>
  <c r="C47" i="2"/>
  <c r="C46" i="2"/>
  <c r="C45" i="2"/>
  <c r="C44" i="2"/>
  <c r="C43" i="2"/>
  <c r="C42" i="2"/>
  <c r="C41" i="2"/>
  <c r="C40" i="2"/>
  <c r="C39" i="2"/>
  <c r="C38" i="2"/>
  <c r="C37" i="2"/>
  <c r="C36" i="2"/>
  <c r="C35" i="2"/>
  <c r="C34" i="2"/>
  <c r="C33" i="2"/>
  <c r="C32" i="2"/>
  <c r="C31" i="2"/>
  <c r="C30" i="2"/>
  <c r="C318" i="2"/>
  <c r="C317" i="2"/>
  <c r="C316" i="2"/>
  <c r="C315" i="2"/>
  <c r="C314" i="2"/>
  <c r="C313" i="2"/>
  <c r="C312" i="2"/>
  <c r="C311" i="2"/>
  <c r="C250" i="2"/>
  <c r="C249" i="2"/>
  <c r="C248" i="2"/>
  <c r="C247" i="2"/>
  <c r="C246" i="2"/>
  <c r="C245" i="2"/>
  <c r="C244" i="2"/>
  <c r="C243" i="2"/>
  <c r="C242" i="2"/>
  <c r="C241" i="2"/>
  <c r="C240" i="2"/>
  <c r="C239" i="2"/>
  <c r="C238" i="2"/>
  <c r="C237" i="2"/>
  <c r="C236" i="2"/>
  <c r="C235" i="2"/>
  <c r="C234" i="2"/>
  <c r="C233" i="2"/>
  <c r="C298" i="2"/>
  <c r="C297" i="2"/>
  <c r="C296" i="2"/>
  <c r="C295" i="2"/>
  <c r="C294" i="2"/>
  <c r="C293" i="2"/>
  <c r="C333" i="2"/>
  <c r="C332" i="2"/>
  <c r="C331" i="2"/>
  <c r="C330" i="2"/>
  <c r="C329" i="2"/>
  <c r="C328" i="2"/>
  <c r="C327" i="2"/>
  <c r="C326" i="2"/>
  <c r="C325" i="2"/>
  <c r="C324" i="2"/>
  <c r="C323" i="2"/>
  <c r="C322" i="2"/>
  <c r="C321" i="2"/>
  <c r="C320" i="2"/>
  <c r="C319" i="2"/>
  <c r="C115" i="2"/>
  <c r="C114" i="2"/>
  <c r="C113" i="2"/>
  <c r="C112" i="2"/>
  <c r="C111" i="2"/>
  <c r="C110" i="2"/>
  <c r="C109" i="2"/>
  <c r="C108" i="2"/>
  <c r="C107" i="2"/>
  <c r="C106" i="2"/>
  <c r="C165" i="2"/>
  <c r="C164" i="2"/>
  <c r="C163" i="2"/>
  <c r="C162" i="2"/>
  <c r="C161" i="2"/>
  <c r="C160" i="2"/>
  <c r="C159" i="2"/>
  <c r="C158" i="2"/>
  <c r="C157" i="2"/>
  <c r="C156" i="2"/>
  <c r="C155" i="2"/>
  <c r="C154" i="2"/>
  <c r="C153" i="2"/>
  <c r="C152" i="2"/>
  <c r="C151" i="2"/>
  <c r="C150" i="2"/>
  <c r="C232" i="2"/>
  <c r="C231" i="2"/>
  <c r="C230" i="2"/>
  <c r="C229" i="2"/>
  <c r="C228" i="2"/>
  <c r="C227" i="2"/>
  <c r="C226" i="2"/>
  <c r="C225" i="2"/>
  <c r="C224" i="2"/>
  <c r="C223" i="2"/>
  <c r="C222" i="2"/>
  <c r="C221" i="2"/>
  <c r="C220" i="2"/>
  <c r="C219" i="2"/>
  <c r="C218" i="2"/>
  <c r="C217" i="2"/>
  <c r="C292" i="2"/>
  <c r="C291" i="2"/>
  <c r="C290" i="2"/>
  <c r="C289" i="2"/>
  <c r="C288" i="2"/>
  <c r="C287" i="2"/>
  <c r="C129" i="2"/>
  <c r="C128" i="2"/>
  <c r="C127" i="2"/>
  <c r="C126" i="2"/>
  <c r="C125" i="2"/>
  <c r="C124" i="2"/>
  <c r="C123" i="2"/>
  <c r="C122" i="2"/>
  <c r="C121" i="2"/>
  <c r="C120" i="2"/>
  <c r="C119" i="2"/>
  <c r="C118" i="2"/>
  <c r="C117" i="2"/>
  <c r="C116" i="2"/>
  <c r="C17" i="2"/>
  <c r="C16" i="2"/>
  <c r="C15" i="2"/>
  <c r="C14" i="2"/>
  <c r="C13" i="2"/>
  <c r="C12" i="2"/>
  <c r="C11" i="2"/>
  <c r="C199" i="2"/>
  <c r="C198" i="2"/>
  <c r="C197" i="2"/>
  <c r="C196" i="2"/>
  <c r="C195" i="2"/>
  <c r="C194" i="2"/>
  <c r="C193" i="2"/>
  <c r="C192" i="2"/>
  <c r="C191" i="2"/>
  <c r="C190" i="2"/>
  <c r="C189" i="2"/>
  <c r="C188" i="2"/>
  <c r="C187" i="2"/>
  <c r="C186" i="2"/>
  <c r="C185" i="2"/>
  <c r="C184" i="2"/>
  <c r="C183" i="2"/>
  <c r="C280" i="2"/>
  <c r="C279" i="2"/>
  <c r="C278" i="2"/>
  <c r="C277" i="2"/>
  <c r="C276" i="2"/>
  <c r="C275" i="2"/>
  <c r="C29" i="2"/>
  <c r="C28" i="2"/>
  <c r="C27" i="2"/>
  <c r="C26" i="2"/>
  <c r="C25" i="2"/>
  <c r="C24" i="2"/>
  <c r="C23" i="2"/>
  <c r="C22" i="2"/>
  <c r="C21" i="2"/>
  <c r="C20" i="2"/>
  <c r="C19" i="2"/>
  <c r="C18" i="2"/>
  <c r="C182" i="2"/>
  <c r="C181" i="2"/>
  <c r="C180" i="2"/>
  <c r="C179" i="2"/>
  <c r="C178" i="2"/>
  <c r="C177" i="2"/>
  <c r="C176" i="2"/>
  <c r="C175" i="2"/>
  <c r="C174" i="2"/>
  <c r="C173" i="2"/>
  <c r="C172" i="2"/>
  <c r="C171" i="2"/>
  <c r="C170" i="2"/>
  <c r="C169" i="2"/>
  <c r="C168" i="2"/>
  <c r="C167" i="2"/>
  <c r="C166" i="2"/>
  <c r="C274" i="2"/>
  <c r="C273" i="2"/>
  <c r="C272" i="2"/>
  <c r="C271" i="2"/>
  <c r="C270" i="2"/>
  <c r="C269" i="2"/>
  <c r="C268" i="2"/>
  <c r="C267" i="2"/>
  <c r="C266" i="2"/>
  <c r="C265" i="2"/>
  <c r="C264" i="2"/>
  <c r="C263" i="2"/>
  <c r="C262" i="2"/>
  <c r="C261" i="2"/>
  <c r="C260" i="2"/>
  <c r="C259" i="2"/>
  <c r="C258" i="2"/>
  <c r="C257" i="2"/>
  <c r="C256" i="2"/>
  <c r="C255" i="2"/>
  <c r="C254" i="2"/>
  <c r="C253" i="2"/>
  <c r="C252" i="2"/>
  <c r="C251" i="2"/>
  <c r="C304" i="2"/>
  <c r="C303" i="2"/>
  <c r="C302" i="2"/>
  <c r="C301" i="2"/>
  <c r="C300" i="2"/>
  <c r="C299" i="2"/>
  <c r="C216" i="2"/>
  <c r="C215" i="2"/>
  <c r="C214" i="2"/>
  <c r="C213" i="2"/>
  <c r="C212" i="2"/>
  <c r="C211" i="2"/>
  <c r="C210" i="2"/>
  <c r="C209" i="2"/>
  <c r="C208" i="2"/>
  <c r="C207" i="2"/>
  <c r="C206" i="2"/>
  <c r="C205" i="2"/>
  <c r="C204" i="2"/>
  <c r="C203" i="2"/>
  <c r="C202" i="2"/>
  <c r="C201" i="2"/>
  <c r="C200" i="2"/>
  <c r="C286" i="2"/>
  <c r="C285" i="2"/>
  <c r="C284" i="2"/>
  <c r="C283" i="2"/>
  <c r="C282" i="2"/>
  <c r="C281" i="2"/>
  <c r="C310" i="2"/>
  <c r="C309" i="2"/>
  <c r="C308" i="2"/>
  <c r="C307" i="2"/>
  <c r="C305" i="2"/>
  <c r="C306" i="2"/>
  <c r="E39" i="4"/>
  <c r="E38" i="4"/>
  <c r="E37" i="4"/>
  <c r="E36" i="4"/>
  <c r="E35" i="4"/>
  <c r="E34" i="4"/>
  <c r="E33" i="4"/>
  <c r="E32" i="4"/>
  <c r="E31" i="4"/>
  <c r="E30" i="4"/>
  <c r="E29" i="4"/>
  <c r="E28" i="4"/>
  <c r="E27" i="4"/>
  <c r="E26" i="4"/>
  <c r="E25" i="4"/>
  <c r="E24" i="4"/>
  <c r="E23" i="4"/>
  <c r="E22" i="4"/>
  <c r="E21" i="4"/>
  <c r="E20" i="4"/>
  <c r="E19" i="4"/>
  <c r="E18" i="4"/>
  <c r="E17" i="4"/>
  <c r="E16" i="4"/>
  <c r="E15" i="4"/>
  <c r="E14" i="4"/>
  <c r="E13" i="4"/>
  <c r="E12" i="4"/>
  <c r="E11" i="4"/>
</calcChain>
</file>

<file path=xl/sharedStrings.xml><?xml version="1.0" encoding="utf-8"?>
<sst xmlns="http://schemas.openxmlformats.org/spreadsheetml/2006/main" count="3601" uniqueCount="909">
  <si>
    <t>target url</t>
    <phoneticPr fontId="3" type="noConversion"/>
  </si>
  <si>
    <t>varchar</t>
    <phoneticPr fontId="3" type="noConversion"/>
  </si>
  <si>
    <t>V</t>
    <phoneticPr fontId="3" type="noConversion"/>
  </si>
  <si>
    <t>언어코드(ko/en/ja 택 1)</t>
    <phoneticPr fontId="3" type="noConversion"/>
  </si>
  <si>
    <t>uuid</t>
    <phoneticPr fontId="3" type="noConversion"/>
  </si>
  <si>
    <t>uuid 값, app 고유값</t>
    <phoneticPr fontId="3" type="noConversion"/>
  </si>
  <si>
    <t>재설치시 새로 생성</t>
    <phoneticPr fontId="3" type="noConversion"/>
  </si>
  <si>
    <t>token</t>
    <phoneticPr fontId="3" type="noConversion"/>
  </si>
  <si>
    <t>GCM, APNS token 값</t>
    <phoneticPr fontId="3" type="noConversion"/>
  </si>
  <si>
    <t>기존 token 삭제 후 DB insert. 최종로그인 기기만 enable.</t>
    <phoneticPr fontId="3" type="noConversion"/>
  </si>
  <si>
    <t>id</t>
    <phoneticPr fontId="3" type="noConversion"/>
  </si>
  <si>
    <t>pw</t>
    <phoneticPr fontId="3" type="noConversion"/>
  </si>
  <si>
    <t>code</t>
    <phoneticPr fontId="3" type="noConversion"/>
  </si>
  <si>
    <t>int</t>
    <phoneticPr fontId="3" type="noConversion"/>
  </si>
  <si>
    <t>오류코드</t>
    <phoneticPr fontId="3" type="noConversion"/>
  </si>
  <si>
    <t>message</t>
    <phoneticPr fontId="3" type="noConversion"/>
  </si>
  <si>
    <t>result</t>
    <phoneticPr fontId="3" type="noConversion"/>
  </si>
  <si>
    <t>아이디</t>
    <phoneticPr fontId="3" type="noConversion"/>
  </si>
  <si>
    <t>이메일 형식</t>
    <phoneticPr fontId="3" type="noConversion"/>
  </si>
  <si>
    <t>API 명</t>
    <phoneticPr fontId="3" type="noConversion"/>
  </si>
  <si>
    <t>API 설명</t>
    <phoneticPr fontId="3" type="noConversion"/>
  </si>
  <si>
    <t>방향</t>
    <phoneticPr fontId="3" type="noConversion"/>
  </si>
  <si>
    <t>변수명</t>
    <phoneticPr fontId="3" type="noConversion"/>
  </si>
  <si>
    <t>변수2</t>
    <phoneticPr fontId="3" type="noConversion"/>
  </si>
  <si>
    <t>타입</t>
    <phoneticPr fontId="3" type="noConversion"/>
  </si>
  <si>
    <t>최대길이</t>
    <phoneticPr fontId="3" type="noConversion"/>
  </si>
  <si>
    <t>필수여부</t>
    <phoneticPr fontId="3" type="noConversion"/>
  </si>
  <si>
    <t>앱 컬럼내용</t>
    <phoneticPr fontId="3" type="noConversion"/>
  </si>
  <si>
    <t>변수 설명</t>
    <phoneticPr fontId="3" type="noConversion"/>
  </si>
  <si>
    <t>비고</t>
    <phoneticPr fontId="3" type="noConversion"/>
  </si>
  <si>
    <t>AppLogin</t>
    <phoneticPr fontId="3" type="noConversion"/>
  </si>
  <si>
    <t>https://mydomain.com:443/app/AppLogin/</t>
    <phoneticPr fontId="3" type="noConversion"/>
  </si>
  <si>
    <t>앱 로그인시</t>
    <phoneticPr fontId="3" type="noConversion"/>
  </si>
  <si>
    <t>Request</t>
    <phoneticPr fontId="3" type="noConversion"/>
  </si>
  <si>
    <t>Response</t>
    <phoneticPr fontId="3" type="noConversion"/>
  </si>
  <si>
    <t>lang</t>
    <phoneticPr fontId="3" type="noConversion"/>
  </si>
  <si>
    <t>앱 토큰</t>
    <phoneticPr fontId="3" type="noConversion"/>
  </si>
  <si>
    <t>앱 언어</t>
    <phoneticPr fontId="3" type="noConversion"/>
  </si>
  <si>
    <t>앱 UUID</t>
    <phoneticPr fontId="3" type="noConversion"/>
  </si>
  <si>
    <t>비밀번호</t>
    <phoneticPr fontId="3" type="noConversion"/>
  </si>
  <si>
    <t>암호화 처리</t>
    <phoneticPr fontId="3" type="noConversion"/>
  </si>
  <si>
    <t>1xx : 필수 변수값 없음
101 : 아이디 없음
102 : 비밀번호 없음
103 : 탈퇴한 회원 아이디
2xx : 로그인 정상 처리
3xx : 앱 버전 업데이트 안내
4xx : 서버 요청 실패 오류
5xx : 서버 오류</t>
    <phoneticPr fontId="3" type="noConversion"/>
  </si>
  <si>
    <t>code 값에 따른 문구 : text 형식 (경고창 등에 보여지는 문구 표기)</t>
    <phoneticPr fontId="3" type="noConversion"/>
  </si>
  <si>
    <t>AppMemberInfo</t>
    <phoneticPr fontId="3" type="noConversion"/>
  </si>
  <si>
    <t>회원정보</t>
    <phoneticPr fontId="3" type="noConversion"/>
  </si>
  <si>
    <t>생년월일</t>
    <phoneticPr fontId="3" type="noConversion"/>
  </si>
  <si>
    <t>연락처</t>
    <phoneticPr fontId="3" type="noConversion"/>
  </si>
  <si>
    <t>000-0000-0000 형식</t>
    <phoneticPr fontId="3" type="noConversion"/>
  </si>
  <si>
    <t>https://mydomain.com:443/app/AppMemberInfo/</t>
    <phoneticPr fontId="3" type="noConversion"/>
  </si>
  <si>
    <t>userName</t>
    <phoneticPr fontId="3" type="noConversion"/>
  </si>
  <si>
    <t>userBirth</t>
    <phoneticPr fontId="3" type="noConversion"/>
  </si>
  <si>
    <t>userTel</t>
    <phoneticPr fontId="3" type="noConversion"/>
  </si>
  <si>
    <t>이름</t>
    <phoneticPr fontId="3" type="noConversion"/>
  </si>
  <si>
    <t>yyyy-mm-dd 형식</t>
    <phoneticPr fontId="3" type="noConversion"/>
  </si>
  <si>
    <t>소문자 ISO-639-1 Type</t>
    <phoneticPr fontId="3" type="noConversion"/>
  </si>
  <si>
    <t>2xx 가 아니면 오류(경고창 안내)</t>
    <phoneticPr fontId="3" type="noConversion"/>
  </si>
  <si>
    <t>오류메시지</t>
    <phoneticPr fontId="3" type="noConversion"/>
  </si>
  <si>
    <t>앱 &lt;&gt; 서버간 api 연동 규격</t>
    <phoneticPr fontId="3" type="noConversion"/>
  </si>
  <si>
    <t>json 샘플</t>
    <phoneticPr fontId="3" type="noConversion"/>
  </si>
  <si>
    <t>{
    "AppMemberInfo": [
        {
            "lang": "ko",
            "id": "test@mydomain.com",
            "pw": "123456789",
            "uuid": "123-456-789-012",
            "token": "123-456-789-012-345-678-901"
        }
    ]
}</t>
    <phoneticPr fontId="3" type="noConversion"/>
  </si>
  <si>
    <t>{
    "AppLogin": [
        {
            "lang": "ko",
            "id": "test@mydomain.com",
            "pw": "123456789",
            "uuid": "123-456-789-012",
            "token": "123-456-789-012-345-678-901"
        }
    ]
}</t>
    <phoneticPr fontId="3" type="noConversion"/>
  </si>
  <si>
    <t>{
    "code": 200,
    "message": "조회 정상"
}</t>
    <phoneticPr fontId="3" type="noConversion"/>
  </si>
  <si>
    <t>2xx 일때는 경고창이 없다</t>
    <phoneticPr fontId="3" type="noConversion"/>
  </si>
  <si>
    <t>//조회 성공시
{
    "code": 200,
    "message": "조회 정상",
    "result": {
        "userName": "4891@todospd.com",
        "userBirth": "1999-01-01",
        "userTel": "010-9964-4891"
    }
}
//조회 실패시
{
    "code": 500,
    "message": "서버와의 통신 오류입니다."
}</t>
    <phoneticPr fontId="3" type="noConversion"/>
  </si>
  <si>
    <t>AppOrderList</t>
    <phoneticPr fontId="3" type="noConversion"/>
  </si>
  <si>
    <t>주문 내역</t>
    <phoneticPr fontId="3" type="noConversion"/>
  </si>
  <si>
    <t>orderNo</t>
    <phoneticPr fontId="3" type="noConversion"/>
  </si>
  <si>
    <t>주문번호</t>
    <phoneticPr fontId="3" type="noConversion"/>
  </si>
  <si>
    <t>https://mydomain.com:443/app/AppOrderList/</t>
    <phoneticPr fontId="3" type="noConversion"/>
  </si>
  <si>
    <t>orderCount</t>
    <phoneticPr fontId="3" type="noConversion"/>
  </si>
  <si>
    <t>orderPrice</t>
    <phoneticPr fontId="3" type="noConversion"/>
  </si>
  <si>
    <t>deliveryStatus</t>
    <phoneticPr fontId="3" type="noConversion"/>
  </si>
  <si>
    <t>상품명</t>
    <phoneticPr fontId="3" type="noConversion"/>
  </si>
  <si>
    <t>주문갯수</t>
    <phoneticPr fontId="3" type="noConversion"/>
  </si>
  <si>
    <t>주문금액</t>
    <phoneticPr fontId="3" type="noConversion"/>
  </si>
  <si>
    <t>배송상태</t>
    <phoneticPr fontId="3" type="noConversion"/>
  </si>
  <si>
    <t>배송대기, 배송중, 배송완료, 배송취소</t>
    <phoneticPr fontId="3" type="noConversion"/>
  </si>
  <si>
    <t>문구로 처리</t>
    <phoneticPr fontId="3" type="noConversion"/>
  </si>
  <si>
    <t>1,000,000 형식</t>
    <phoneticPr fontId="3" type="noConversion"/>
  </si>
  <si>
    <t>1,000 형식</t>
    <phoneticPr fontId="3" type="noConversion"/>
  </si>
  <si>
    <t>pName</t>
    <phoneticPr fontId="3" type="noConversion"/>
  </si>
  <si>
    <t>{
    "code": 200,
    "message": "주문내역 목록입니다.",
    "result": [
        {
            "orderNo": "20200101-120000-11111",
            "pName": "KF80 마스크",
            "orderCount": "1,500",
            "orderPrice": "300,000",
            "deliveryStatus": "배송완료"
        },
        {
            "orderNo": "20200101-120000-22222",
            "pName": "KF94 마스크",
            "orderCount": "1,00",
            "orderPrice": "30,000",
            "deliveryStatus": "배송중"
        }
    ]
}</t>
    <phoneticPr fontId="3" type="noConversion"/>
  </si>
  <si>
    <t>{
    "AppOrderList": [
        {
            "lang": "ko",
            "id": "test@mydomain.com"
        }
    ]
}</t>
    <phoneticPr fontId="3" type="noConversion"/>
  </si>
  <si>
    <t>result
(loop)</t>
    <phoneticPr fontId="3" type="noConversion"/>
  </si>
  <si>
    <t>변수ID</t>
    <phoneticPr fontId="3" type="noConversion"/>
  </si>
  <si>
    <t>사용자전화번호</t>
    <phoneticPr fontId="3" type="noConversion"/>
  </si>
  <si>
    <t>전화번호</t>
    <phoneticPr fontId="3" type="noConversion"/>
  </si>
  <si>
    <t>매체구분코드</t>
    <phoneticPr fontId="3" type="noConversion"/>
  </si>
  <si>
    <t>처리결과코드</t>
  </si>
  <si>
    <t>대표유형분류명</t>
  </si>
  <si>
    <t>화이트리스트여부</t>
  </si>
  <si>
    <t>기관명</t>
  </si>
  <si>
    <t>MedPartCd</t>
    <phoneticPr fontId="3" type="noConversion"/>
  </si>
  <si>
    <t>ProcRsltCd</t>
    <phoneticPr fontId="3" type="noConversion"/>
  </si>
  <si>
    <t>TopTpClsNm</t>
    <phoneticPr fontId="3" type="noConversion"/>
  </si>
  <si>
    <t>●</t>
  </si>
  <si>
    <t>설명</t>
    <phoneticPr fontId="3" type="noConversion"/>
  </si>
  <si>
    <t>PageReqPartCd</t>
    <phoneticPr fontId="3" type="noConversion"/>
  </si>
  <si>
    <t>사용언어코드</t>
    <phoneticPr fontId="3" type="noConversion"/>
  </si>
  <si>
    <t>페이지요청구분코드</t>
    <phoneticPr fontId="3" type="noConversion"/>
  </si>
  <si>
    <t>총건수</t>
  </si>
  <si>
    <t>순번</t>
  </si>
  <si>
    <t>기타유형입력내용</t>
  </si>
  <si>
    <t>총페이지수</t>
    <phoneticPr fontId="3" type="noConversion"/>
  </si>
  <si>
    <t>접수일자</t>
    <phoneticPr fontId="3" type="noConversion"/>
  </si>
  <si>
    <t>RptTpClsCd</t>
    <phoneticPr fontId="3" type="noConversion"/>
  </si>
  <si>
    <t>조회대상 총건수</t>
    <phoneticPr fontId="3" type="noConversion"/>
  </si>
  <si>
    <t>조회대상 총페이지수</t>
    <phoneticPr fontId="3" type="noConversion"/>
  </si>
  <si>
    <t>금번 조회결과 시작페이지수</t>
    <phoneticPr fontId="3" type="noConversion"/>
  </si>
  <si>
    <t>조회대상 총건수의 각 순번</t>
    <phoneticPr fontId="3" type="noConversion"/>
  </si>
  <si>
    <t>RptTpClsNm</t>
    <phoneticPr fontId="3" type="noConversion"/>
  </si>
  <si>
    <t>'001'</t>
    <phoneticPr fontId="3" type="noConversion"/>
  </si>
  <si>
    <t>접수시간</t>
    <phoneticPr fontId="3" type="noConversion"/>
  </si>
  <si>
    <t>RcvTime</t>
    <phoneticPr fontId="3" type="noConversion"/>
  </si>
  <si>
    <t>신고일자(yy/mm/dd)</t>
    <phoneticPr fontId="3" type="noConversion"/>
  </si>
  <si>
    <t>신고시간(hh:mm)</t>
    <phoneticPr fontId="3" type="noConversion"/>
  </si>
  <si>
    <t>좋아요여부</t>
    <phoneticPr fontId="3" type="noConversion"/>
  </si>
  <si>
    <t>차단여부</t>
    <phoneticPr fontId="3" type="noConversion"/>
  </si>
  <si>
    <t>신고유형분류코드</t>
    <phoneticPr fontId="3" type="noConversion"/>
  </si>
  <si>
    <t>신고유형분류명</t>
    <phoneticPr fontId="3" type="noConversion"/>
  </si>
  <si>
    <t>#</t>
    <phoneticPr fontId="3" type="noConversion"/>
  </si>
  <si>
    <t>사용자가 최초 앱 설치 시 사용자 정보를 시스템에 등록</t>
  </si>
  <si>
    <t>전화 수신 시 스팸여부 조회</t>
  </si>
  <si>
    <t>일반문자 수신 시 스팸여부 조회</t>
  </si>
  <si>
    <t>URL이 포함된 문자 수신 시 스팸(스미싱)여부 조회</t>
  </si>
  <si>
    <t>신고등록(전화)</t>
  </si>
  <si>
    <t>수신 받은 전화가 스팸인 경우 사용자가 신고 등록. 차단은 선택.</t>
  </si>
  <si>
    <t>신고등록(일반문자)</t>
  </si>
  <si>
    <t>수신 받은 일반문자가 스팸인 경우 사용자가 신고 등록. 차단은 선택.</t>
  </si>
  <si>
    <t>신고등록(URL문자)</t>
  </si>
  <si>
    <t>수신 받은 URL문자가 스팸(스미싱)인 경우 사용자가 신고 등록. 차단은 선택.</t>
  </si>
  <si>
    <t>사용자가 해당 발신 번호 차단해제 요청</t>
  </si>
  <si>
    <t>사용자가 해당 발신 번호를 안심번호로 등록</t>
  </si>
  <si>
    <t>URL문자에 대한 스미싱 정밀진단 처리</t>
  </si>
  <si>
    <t>사용자의 활동지수 등 조회 및 메뉴 기능</t>
  </si>
  <si>
    <t>사용자의 신고내역을 조회</t>
  </si>
  <si>
    <t>사용자의 포인트 가감 이력을 조회</t>
  </si>
  <si>
    <t>일반공지 내역을 조회</t>
  </si>
  <si>
    <t>개별공지 내역을 조회</t>
  </si>
  <si>
    <t>이벤트 내역을 조회</t>
  </si>
  <si>
    <t>아이루커(가칭)에 관한 뉴스 내역을 조회</t>
  </si>
  <si>
    <t>문의한 내역을 조회</t>
  </si>
  <si>
    <t>FAQ 내역을 조회</t>
  </si>
  <si>
    <t xml:space="preserve">Point 처리를 위해 일반공지 내역 확인 시 </t>
  </si>
  <si>
    <t xml:space="preserve">Point 처리를 위해 개별공지 내역 확인 시 </t>
  </si>
  <si>
    <t xml:space="preserve">Point 처리를 위해 이벤트 내역 확인 시 </t>
  </si>
  <si>
    <t xml:space="preserve">Point 처리를 위해 아이루커에 관한 뉴스 내역 확인 시 </t>
  </si>
  <si>
    <t>Point 처리를 위해 문의 내역 확인 시</t>
  </si>
  <si>
    <t xml:space="preserve">Point 처리를 위해 FAQ 내역 확인 시 </t>
  </si>
  <si>
    <t>Point 처리를 위해 사용자가 광고 창 Click 시</t>
  </si>
  <si>
    <t>회신 받을 이메일, 문의 제목, 문의 내용 등록. Point 처리 대상</t>
  </si>
  <si>
    <t>문의한 내역을 변경 시</t>
  </si>
  <si>
    <t>문의한 내역을 삭제 시</t>
  </si>
  <si>
    <t>내용</t>
    <phoneticPr fontId="3" type="noConversion"/>
  </si>
  <si>
    <t>처리요청구분코드</t>
    <phoneticPr fontId="3" type="noConversion"/>
  </si>
  <si>
    <t>ApiInstall</t>
  </si>
  <si>
    <t>ApiInstall</t>
    <phoneticPr fontId="3" type="noConversion"/>
  </si>
  <si>
    <t>ApiUnblock</t>
  </si>
  <si>
    <t>ApiReceiveTxtMsg</t>
  </si>
  <si>
    <t>ApiReceiveTxtMsg</t>
    <phoneticPr fontId="3" type="noConversion"/>
  </si>
  <si>
    <t>ApiReceiveUrlMsg</t>
  </si>
  <si>
    <t>ApiReceiveUrlMsg</t>
    <phoneticPr fontId="3" type="noConversion"/>
  </si>
  <si>
    <t>ApiReportRegPhn</t>
  </si>
  <si>
    <t>ApiReportRegPhn</t>
    <phoneticPr fontId="3" type="noConversion"/>
  </si>
  <si>
    <t>ApiUnblock</t>
    <phoneticPr fontId="3" type="noConversion"/>
  </si>
  <si>
    <t>ApiIncomingPhnCall</t>
  </si>
  <si>
    <t>ApiReportRegTxtMsg</t>
  </si>
  <si>
    <t>ApiReportRegTxtMsg</t>
    <phoneticPr fontId="3" type="noConversion"/>
  </si>
  <si>
    <t>ApiReportRegUrlMsg</t>
  </si>
  <si>
    <t>ApiReportRegUrlMsg</t>
    <phoneticPr fontId="3" type="noConversion"/>
  </si>
  <si>
    <t>ApiPrecisionDiagnosis</t>
  </si>
  <si>
    <t>ApiPrecisionDiagnosis</t>
    <phoneticPr fontId="3" type="noConversion"/>
  </si>
  <si>
    <t>ApiMainPageInq</t>
  </si>
  <si>
    <t>ApiMainPageInq</t>
    <phoneticPr fontId="3" type="noConversion"/>
  </si>
  <si>
    <t>ApiReportHistoryInq</t>
  </si>
  <si>
    <t>ApiReportHistoryInq</t>
    <phoneticPr fontId="3" type="noConversion"/>
  </si>
  <si>
    <t>ApiPointInq</t>
  </si>
  <si>
    <t>ApiPointInq</t>
    <phoneticPr fontId="3" type="noConversion"/>
  </si>
  <si>
    <t>ApiGeneralNoticeInq</t>
  </si>
  <si>
    <t>ApiGeneralNoticeInq</t>
    <phoneticPr fontId="3" type="noConversion"/>
  </si>
  <si>
    <t>ApiIndividualNoticeInq</t>
  </si>
  <si>
    <t>ApiIndividualNoticeInq</t>
    <phoneticPr fontId="3" type="noConversion"/>
  </si>
  <si>
    <t>ApiEventInq</t>
  </si>
  <si>
    <t>ApiEventInq</t>
    <phoneticPr fontId="3" type="noConversion"/>
  </si>
  <si>
    <t>ApiNewsInq</t>
  </si>
  <si>
    <t>ApiNewsInq</t>
    <phoneticPr fontId="3" type="noConversion"/>
  </si>
  <si>
    <t>ApiQuestionInq</t>
  </si>
  <si>
    <t>ApiQuestionInq</t>
    <phoneticPr fontId="3" type="noConversion"/>
  </si>
  <si>
    <t>ApiFAQInq</t>
  </si>
  <si>
    <t>ApiFAQInq</t>
    <phoneticPr fontId="3" type="noConversion"/>
  </si>
  <si>
    <t>ApiGeneralNoticeDtl</t>
  </si>
  <si>
    <t>ApiGeneralNoticeDtl</t>
    <phoneticPr fontId="3" type="noConversion"/>
  </si>
  <si>
    <t>ApiIndividualNoticeDtl</t>
  </si>
  <si>
    <t>ApiIndividualNoticeDtl</t>
    <phoneticPr fontId="3" type="noConversion"/>
  </si>
  <si>
    <t>ApiEventDtl</t>
  </si>
  <si>
    <t>ApiEventDtl</t>
    <phoneticPr fontId="3" type="noConversion"/>
  </si>
  <si>
    <t>ApiNewsDtl</t>
  </si>
  <si>
    <t>ApiNewsDtl</t>
    <phoneticPr fontId="3" type="noConversion"/>
  </si>
  <si>
    <t>ApiQuestionDtl</t>
  </si>
  <si>
    <t>ApiQuestionDtl</t>
    <phoneticPr fontId="3" type="noConversion"/>
  </si>
  <si>
    <t>ApiFAQDtl</t>
  </si>
  <si>
    <t>ApiFAQDtl</t>
    <phoneticPr fontId="3" type="noConversion"/>
  </si>
  <si>
    <t>ApiAdvertCheck</t>
  </si>
  <si>
    <t>ApiAdvertCheck</t>
    <phoneticPr fontId="3" type="noConversion"/>
  </si>
  <si>
    <t>ApiQuestionReg</t>
  </si>
  <si>
    <t>ApiQuestionReg</t>
    <phoneticPr fontId="3" type="noConversion"/>
  </si>
  <si>
    <t>ApiQuestionChg</t>
  </si>
  <si>
    <t>ApiQuestionChg</t>
    <phoneticPr fontId="3" type="noConversion"/>
  </si>
  <si>
    <t>ApiQuestionDel</t>
  </si>
  <si>
    <t>ApiQuestionDel</t>
    <phoneticPr fontId="3" type="noConversion"/>
  </si>
  <si>
    <t>ApiSafeNumberReg</t>
  </si>
  <si>
    <t>ApiSafeNumberReg</t>
    <phoneticPr fontId="3" type="noConversion"/>
  </si>
  <si>
    <t>API 목록</t>
    <phoneticPr fontId="3" type="noConversion"/>
  </si>
  <si>
    <t>001</t>
    <phoneticPr fontId="3" type="noConversion"/>
  </si>
  <si>
    <t>002</t>
    <phoneticPr fontId="3" type="noConversion"/>
  </si>
  <si>
    <t>003</t>
  </si>
  <si>
    <t>004</t>
  </si>
  <si>
    <t>005</t>
  </si>
  <si>
    <t>006</t>
  </si>
  <si>
    <t>007</t>
  </si>
  <si>
    <t>008</t>
  </si>
  <si>
    <t>009</t>
  </si>
  <si>
    <t>010</t>
  </si>
  <si>
    <t>코드ID</t>
    <phoneticPr fontId="3" type="noConversion"/>
  </si>
  <si>
    <t>←Svr</t>
    <phoneticPr fontId="3" type="noConversion"/>
  </si>
  <si>
    <t>○</t>
  </si>
  <si>
    <t>사용자전화번호</t>
  </si>
  <si>
    <t>사용자성명</t>
  </si>
  <si>
    <t>추천인전화번호</t>
  </si>
  <si>
    <t>전화번호</t>
  </si>
  <si>
    <t>메시지내용</t>
  </si>
  <si>
    <t>메시지내URL</t>
  </si>
  <si>
    <t>좋아요여부</t>
  </si>
  <si>
    <t>신고유형분류코드</t>
  </si>
  <si>
    <t>FAQ종류코드</t>
  </si>
  <si>
    <t>문의내용</t>
  </si>
  <si>
    <t>공지번호</t>
  </si>
  <si>
    <t>이벤트번호</t>
  </si>
  <si>
    <t>뉴스번호</t>
  </si>
  <si>
    <t>문의번호</t>
  </si>
  <si>
    <t>FAQ번호</t>
  </si>
  <si>
    <t>광고번호</t>
  </si>
  <si>
    <t>이메일</t>
  </si>
  <si>
    <t>현재Point</t>
  </si>
  <si>
    <t>신고횟수</t>
  </si>
  <si>
    <t>광고확인횟수</t>
  </si>
  <si>
    <t>공지확인횟수</t>
  </si>
  <si>
    <t>이벤트확인횟수</t>
  </si>
  <si>
    <t>뉴스확인횟수</t>
  </si>
  <si>
    <t>문의요청횟수</t>
  </si>
  <si>
    <t>이벤트참여횟수</t>
  </si>
  <si>
    <t>포인트가감일자</t>
  </si>
  <si>
    <t>포인트가감사유명</t>
  </si>
  <si>
    <t>포인트점수</t>
  </si>
  <si>
    <t>포인트가감사유내용</t>
  </si>
  <si>
    <t>공지시작일자</t>
  </si>
  <si>
    <t>공지종료일자</t>
  </si>
  <si>
    <t>공지종류명</t>
  </si>
  <si>
    <t>공지제목</t>
  </si>
  <si>
    <t>공지내용</t>
  </si>
  <si>
    <t>이벤트시작일자</t>
  </si>
  <si>
    <t>이벤트종료일자</t>
  </si>
  <si>
    <t>이벤트종류명</t>
  </si>
  <si>
    <t>이벤트제목</t>
  </si>
  <si>
    <t>이벤트내용</t>
  </si>
  <si>
    <t>뉴스시작일자</t>
  </si>
  <si>
    <t>뉴스종료일자</t>
  </si>
  <si>
    <t>뉴스제목</t>
  </si>
  <si>
    <t>뉴스내용</t>
  </si>
  <si>
    <t>문의일자</t>
  </si>
  <si>
    <t>문의제목</t>
  </si>
  <si>
    <t>답변일자</t>
  </si>
  <si>
    <t>답변상태명</t>
  </si>
  <si>
    <t>FAQ종류명</t>
  </si>
  <si>
    <t>답변내용</t>
  </si>
  <si>
    <t>등록일자</t>
  </si>
  <si>
    <t>순번</t>
    <phoneticPr fontId="3" type="noConversion"/>
  </si>
  <si>
    <t>number</t>
    <phoneticPr fontId="3" type="noConversion"/>
  </si>
  <si>
    <t>FAQ종류코드</t>
    <phoneticPr fontId="3" type="noConversion"/>
  </si>
  <si>
    <t>FaqKindCd</t>
    <phoneticPr fontId="3" type="noConversion"/>
  </si>
  <si>
    <t>공지종류코드</t>
    <phoneticPr fontId="3" type="noConversion"/>
  </si>
  <si>
    <t>NtcKindCd</t>
    <phoneticPr fontId="3" type="noConversion"/>
  </si>
  <si>
    <t>공지대상코드</t>
    <phoneticPr fontId="3" type="noConversion"/>
  </si>
  <si>
    <t>NtcTargCd</t>
    <phoneticPr fontId="3" type="noConversion"/>
  </si>
  <si>
    <t>광고종류코드</t>
    <phoneticPr fontId="3" type="noConversion"/>
  </si>
  <si>
    <t>AdvtKindCd</t>
    <phoneticPr fontId="3" type="noConversion"/>
  </si>
  <si>
    <t>AdvtGrdCd</t>
    <phoneticPr fontId="3" type="noConversion"/>
  </si>
  <si>
    <t>InqNo</t>
    <phoneticPr fontId="3" type="noConversion"/>
  </si>
  <si>
    <t>답변상태코드</t>
  </si>
  <si>
    <t>AnsStatCd</t>
    <phoneticPr fontId="3" type="noConversion"/>
  </si>
  <si>
    <t>유형분류코드</t>
    <phoneticPr fontId="3" type="noConversion"/>
  </si>
  <si>
    <t>TpClsCd</t>
  </si>
  <si>
    <t>ProcReqPartCd</t>
  </si>
  <si>
    <t>MedPartCd</t>
  </si>
  <si>
    <t>포상사유코드</t>
    <phoneticPr fontId="3" type="noConversion"/>
  </si>
  <si>
    <t>AwdRsnCd</t>
    <phoneticPr fontId="3" type="noConversion"/>
  </si>
  <si>
    <t>AwdRsnCd</t>
  </si>
  <si>
    <t>포인트가감사유코드</t>
    <phoneticPr fontId="3" type="noConversion"/>
  </si>
  <si>
    <t>PntAdjRsnCd</t>
    <phoneticPr fontId="3" type="noConversion"/>
  </si>
  <si>
    <t>자료생성구분코드</t>
    <phoneticPr fontId="3" type="noConversion"/>
  </si>
  <si>
    <t>DataCrePartCd</t>
    <phoneticPr fontId="3" type="noConversion"/>
  </si>
  <si>
    <t>DataCrePartCd</t>
  </si>
  <si>
    <t>처리결과코드</t>
    <phoneticPr fontId="3" type="noConversion"/>
  </si>
  <si>
    <t>ProcRsltCd</t>
  </si>
  <si>
    <t>배치처리결과코드</t>
    <phoneticPr fontId="3" type="noConversion"/>
  </si>
  <si>
    <t>BatProcRsltCd</t>
    <phoneticPr fontId="3" type="noConversion"/>
  </si>
  <si>
    <t>이벤트종류코드</t>
    <phoneticPr fontId="3" type="noConversion"/>
  </si>
  <si>
    <t>EvtKindCd</t>
    <phoneticPr fontId="3" type="noConversion"/>
  </si>
  <si>
    <t>처리상태코드</t>
    <phoneticPr fontId="3" type="noConversion"/>
  </si>
  <si>
    <t>ProcStatCd</t>
    <phoneticPr fontId="3" type="noConversion"/>
  </si>
  <si>
    <t>ProcStatCd</t>
  </si>
  <si>
    <t>좋아요총건수</t>
    <phoneticPr fontId="3" type="noConversion"/>
  </si>
  <si>
    <t>싫어요총건수</t>
    <phoneticPr fontId="3" type="noConversion"/>
  </si>
  <si>
    <t>전화번호종류코드</t>
    <phoneticPr fontId="3" type="noConversion"/>
  </si>
  <si>
    <t>PhnNoKindCd</t>
  </si>
  <si>
    <t>권한등급코드</t>
    <phoneticPr fontId="3" type="noConversion"/>
  </si>
  <si>
    <t>AuthGrdCd</t>
    <phoneticPr fontId="3" type="noConversion"/>
  </si>
  <si>
    <t>채번관리코드</t>
    <phoneticPr fontId="3" type="noConversion"/>
  </si>
  <si>
    <t>GetNumCd</t>
    <phoneticPr fontId="3" type="noConversion"/>
  </si>
  <si>
    <t>‘002’</t>
    <phoneticPr fontId="3" type="noConversion"/>
  </si>
  <si>
    <t>'003'</t>
    <phoneticPr fontId="3" type="noConversion"/>
  </si>
  <si>
    <t>‘001’</t>
    <phoneticPr fontId="3" type="noConversion"/>
  </si>
  <si>
    <t>'KOR'</t>
    <phoneticPr fontId="3" type="noConversion"/>
  </si>
  <si>
    <t>UseLangCd</t>
  </si>
  <si>
    <t>기준페이지수</t>
  </si>
  <si>
    <t>시작페이지수</t>
  </si>
  <si>
    <t>총페이지수</t>
  </si>
  <si>
    <t>차단여부</t>
  </si>
  <si>
    <t>문의제목</t>
    <phoneticPr fontId="3" type="noConversion"/>
  </si>
  <si>
    <t>문의내용</t>
    <phoneticPr fontId="3" type="noConversion"/>
  </si>
  <si>
    <t>TotCnt</t>
  </si>
  <si>
    <t>TotPageCnt</t>
    <phoneticPr fontId="3" type="noConversion"/>
  </si>
  <si>
    <t>기준페이지수</t>
    <phoneticPr fontId="3" type="noConversion"/>
  </si>
  <si>
    <t>BasePageCnt</t>
    <phoneticPr fontId="3" type="noConversion"/>
  </si>
  <si>
    <t>시작페이지수</t>
    <phoneticPr fontId="3" type="noConversion"/>
  </si>
  <si>
    <t>StaPageCnt</t>
    <phoneticPr fontId="3" type="noConversion"/>
  </si>
  <si>
    <t>공지종류명</t>
    <phoneticPr fontId="3" type="noConversion"/>
  </si>
  <si>
    <t>NtcTpNm</t>
    <phoneticPr fontId="3" type="noConversion"/>
  </si>
  <si>
    <t>SmisDoubtYN</t>
    <phoneticPr fontId="3" type="noConversion"/>
  </si>
  <si>
    <t>스미싱진단결과코드</t>
    <phoneticPr fontId="3" type="noConversion"/>
  </si>
  <si>
    <t>SmsDiagRsltCd</t>
  </si>
  <si>
    <t>PntAdjRsnNm</t>
    <phoneticPr fontId="3" type="noConversion"/>
  </si>
  <si>
    <t>EvtKindNm</t>
    <phoneticPr fontId="3" type="noConversion"/>
  </si>
  <si>
    <t>AnsStatNm</t>
    <phoneticPr fontId="3" type="noConversion"/>
  </si>
  <si>
    <t>FaqKindNm</t>
    <phoneticPr fontId="3" type="noConversion"/>
  </si>
  <si>
    <t>최초앱설치</t>
  </si>
  <si>
    <t>전화수신</t>
  </si>
  <si>
    <t>일반문자수신</t>
  </si>
  <si>
    <t>차단해제</t>
  </si>
  <si>
    <t>안심번호등록</t>
  </si>
  <si>
    <t>스미싱정밀진단</t>
  </si>
  <si>
    <t>메인페이지조회</t>
  </si>
  <si>
    <t>나의신고이력조회</t>
  </si>
  <si>
    <t>나의포인트조회</t>
  </si>
  <si>
    <t>일반공지목록조회</t>
  </si>
  <si>
    <t>개별공지목록조회</t>
  </si>
  <si>
    <t>이벤트목록조회</t>
  </si>
  <si>
    <t>뉴스목록조회</t>
  </si>
  <si>
    <t>문의목록조회</t>
  </si>
  <si>
    <t>FAQ목록조회</t>
  </si>
  <si>
    <t>일반공지내역확인</t>
  </si>
  <si>
    <t>개별공지내역확인</t>
  </si>
  <si>
    <t>이벤트내역확인</t>
  </si>
  <si>
    <t>뉴스내역확인</t>
  </si>
  <si>
    <t>문의내역확인</t>
  </si>
  <si>
    <t>FAQ내역확인</t>
  </si>
  <si>
    <t>광고확인</t>
  </si>
  <si>
    <t>문의등록</t>
  </si>
  <si>
    <t>문의내역변경</t>
  </si>
  <si>
    <t>문의내역삭제</t>
  </si>
  <si>
    <t>처리결과코드</t>
    <phoneticPr fontId="3" type="noConversion"/>
  </si>
  <si>
    <t>●</t>
    <phoneticPr fontId="3" type="noConversion"/>
  </si>
  <si>
    <t>◐</t>
  </si>
  <si>
    <t>UserPhnNo</t>
  </si>
  <si>
    <t>varchar</t>
  </si>
  <si>
    <t>UserNm</t>
  </si>
  <si>
    <t>RecPhnNo</t>
  </si>
  <si>
    <t>Msg</t>
  </si>
  <si>
    <t>PhnNo</t>
  </si>
  <si>
    <t>WhtListYN</t>
  </si>
  <si>
    <t>OrgNm</t>
  </si>
  <si>
    <t>number</t>
  </si>
  <si>
    <t>GoodTotCnt</t>
  </si>
  <si>
    <t>BadTotCnt</t>
  </si>
  <si>
    <t>MsgInURL</t>
  </si>
  <si>
    <t>GoodYN</t>
  </si>
  <si>
    <t>BlockYN</t>
  </si>
  <si>
    <t>RptTpClsCd</t>
  </si>
  <si>
    <t>EtcTpInpDesc</t>
  </si>
  <si>
    <t>CurrPnt</t>
  </si>
  <si>
    <t>RptCnt</t>
  </si>
  <si>
    <t>AdvtChkCnt</t>
  </si>
  <si>
    <t>NtcChkCnt</t>
  </si>
  <si>
    <t>EvtChkCnt</t>
  </si>
  <si>
    <t>NewsChkCnt</t>
  </si>
  <si>
    <t>InqChkCnt</t>
  </si>
  <si>
    <t>EvtJoinCnt</t>
  </si>
  <si>
    <t>Seq</t>
  </si>
  <si>
    <t>RcvDate</t>
  </si>
  <si>
    <t>PntAdjDate</t>
  </si>
  <si>
    <t>Pnt</t>
  </si>
  <si>
    <t>PntAdjRsnDesc</t>
  </si>
  <si>
    <t>NtcNo</t>
  </si>
  <si>
    <t>NtcStaDate</t>
  </si>
  <si>
    <t>NtcEndDate</t>
  </si>
  <si>
    <t>NtcTitl</t>
  </si>
  <si>
    <t>NtcDesc</t>
  </si>
  <si>
    <t>EvtNo</t>
  </si>
  <si>
    <t>EvtStaDate</t>
  </si>
  <si>
    <t>EvtEndDate</t>
  </si>
  <si>
    <t>EvtTitl</t>
  </si>
  <si>
    <t>EvtDesc</t>
  </si>
  <si>
    <t>NewsNo</t>
  </si>
  <si>
    <t>NewsStaDate</t>
  </si>
  <si>
    <t>NewsEndDate</t>
  </si>
  <si>
    <t>NewsTitl</t>
  </si>
  <si>
    <t>NewsDesc</t>
  </si>
  <si>
    <t>InqNo</t>
  </si>
  <si>
    <t>InqDate</t>
  </si>
  <si>
    <t>Email</t>
  </si>
  <si>
    <t>InqTitl</t>
  </si>
  <si>
    <t>AnsDate</t>
  </si>
  <si>
    <t>FaqKindCd</t>
  </si>
  <si>
    <t>FaqNo</t>
  </si>
  <si>
    <t>AnsDesc</t>
  </si>
  <si>
    <t>AddDate</t>
  </si>
  <si>
    <t>AdvtNo</t>
  </si>
  <si>
    <t>결과메시지</t>
    <phoneticPr fontId="3" type="noConversion"/>
  </si>
  <si>
    <t>RsltMsg</t>
    <phoneticPr fontId="3" type="noConversion"/>
  </si>
  <si>
    <t>메시지내용</t>
    <phoneticPr fontId="3" type="noConversion"/>
  </si>
  <si>
    <t>RsltMsgPopupYN</t>
    <phoneticPr fontId="3" type="noConversion"/>
  </si>
  <si>
    <t>결과메시지팝업여부</t>
    <phoneticPr fontId="3" type="noConversion"/>
  </si>
  <si>
    <t>화이트리스트여부</t>
    <phoneticPr fontId="3" type="noConversion"/>
  </si>
  <si>
    <t>가정 처음에 있는 URL</t>
    <phoneticPr fontId="3" type="noConversion"/>
  </si>
  <si>
    <t>Y/N</t>
    <phoneticPr fontId="3" type="noConversion"/>
  </si>
  <si>
    <t>대표유형분류명</t>
    <phoneticPr fontId="3" type="noConversion"/>
  </si>
  <si>
    <t>신고유형분류코드</t>
    <phoneticPr fontId="3" type="noConversion"/>
  </si>
  <si>
    <t>App→</t>
    <phoneticPr fontId="3" type="noConversion"/>
  </si>
  <si>
    <t>스미싱의심여부</t>
    <phoneticPr fontId="3" type="noConversion"/>
  </si>
  <si>
    <t>배열수</t>
    <phoneticPr fontId="3" type="noConversion"/>
  </si>
  <si>
    <t>신고유형분류코드가 기타인 경우</t>
    <phoneticPr fontId="3" type="noConversion"/>
  </si>
  <si>
    <t>성명(전화번호4자리)</t>
    <phoneticPr fontId="3" type="noConversion"/>
  </si>
  <si>
    <t>기타유형입력내용</t>
    <phoneticPr fontId="3" type="noConversion"/>
  </si>
  <si>
    <t>검색조건</t>
    <phoneticPr fontId="3" type="noConversion"/>
  </si>
  <si>
    <t>SrchCond</t>
    <phoneticPr fontId="3" type="noConversion"/>
  </si>
  <si>
    <t>문의내용</t>
    <phoneticPr fontId="3" type="noConversion"/>
  </si>
  <si>
    <t>문의내용을 검색</t>
    <phoneticPr fontId="3" type="noConversion"/>
  </si>
  <si>
    <t>전화번호를 검색</t>
    <phoneticPr fontId="3" type="noConversion"/>
  </si>
  <si>
    <t>API 연동 규격</t>
    <phoneticPr fontId="3" type="noConversion"/>
  </si>
  <si>
    <t>UseLangCd</t>
    <phoneticPr fontId="3" type="noConversion"/>
  </si>
  <si>
    <t>"KOR"</t>
  </si>
  <si>
    <t>"001"</t>
  </si>
  <si>
    <t>"003"</t>
  </si>
  <si>
    <t>"Y"</t>
    <phoneticPr fontId="3" type="noConversion"/>
  </si>
  <si>
    <t>"001"</t>
    <phoneticPr fontId="3" type="noConversion"/>
  </si>
  <si>
    <t>"002"</t>
    <phoneticPr fontId="3" type="noConversion"/>
  </si>
  <si>
    <t>"01012345678"</t>
    <phoneticPr fontId="3" type="noConversion"/>
  </si>
  <si>
    <t>"01056789012"</t>
    <phoneticPr fontId="3" type="noConversion"/>
  </si>
  <si>
    <t>"01098765432"</t>
    <phoneticPr fontId="3" type="noConversion"/>
  </si>
  <si>
    <t>"홍길동"</t>
    <phoneticPr fontId="3" type="noConversion"/>
  </si>
  <si>
    <t>"결과메시지"</t>
    <phoneticPr fontId="3" type="noConversion"/>
  </si>
  <si>
    <t>"메시지내용"</t>
    <phoneticPr fontId="3" type="noConversion"/>
  </si>
  <si>
    <t>"국민은행"</t>
    <phoneticPr fontId="3" type="noConversion"/>
  </si>
  <si>
    <t>페이지요청구분코드</t>
  </si>
  <si>
    <t>"FWD"</t>
    <phoneticPr fontId="3" type="noConversion"/>
  </si>
  <si>
    <t>"기타유형입력내용"</t>
    <phoneticPr fontId="3" type="noConversion"/>
  </si>
  <si>
    <t>"포인트가감사유내용"</t>
    <phoneticPr fontId="3" type="noConversion"/>
  </si>
  <si>
    <t>"공지내용"</t>
    <phoneticPr fontId="3" type="noConversion"/>
  </si>
  <si>
    <t>"이벤트내용"</t>
    <phoneticPr fontId="3" type="noConversion"/>
  </si>
  <si>
    <t>"뉴스내용"</t>
    <phoneticPr fontId="3" type="noConversion"/>
  </si>
  <si>
    <t>"문의내용"</t>
    <phoneticPr fontId="3" type="noConversion"/>
  </si>
  <si>
    <t>"답변내용"</t>
    <phoneticPr fontId="3" type="noConversion"/>
  </si>
  <si>
    <t>"http://www.abc.co.kr"</t>
    <phoneticPr fontId="3" type="noConversion"/>
  </si>
  <si>
    <t>"21/08/01"</t>
    <phoneticPr fontId="3" type="noConversion"/>
  </si>
  <si>
    <t>"21/08/31"</t>
    <phoneticPr fontId="3" type="noConversion"/>
  </si>
  <si>
    <t>"email@email.com"</t>
    <phoneticPr fontId="3" type="noConversion"/>
  </si>
  <si>
    <t>"주식/투자"</t>
    <phoneticPr fontId="3" type="noConversion"/>
  </si>
  <si>
    <t>"008"</t>
    <phoneticPr fontId="3" type="noConversion"/>
  </si>
  <si>
    <t>"010-1234"</t>
    <phoneticPr fontId="3" type="noConversion"/>
  </si>
  <si>
    <t>"12:00"</t>
    <phoneticPr fontId="3" type="noConversion"/>
  </si>
  <si>
    <t>"포인트가감사유명"</t>
    <phoneticPr fontId="3" type="noConversion"/>
  </si>
  <si>
    <t>"차단설정"</t>
    <phoneticPr fontId="3" type="noConversion"/>
  </si>
  <si>
    <t>"001-000"</t>
  </si>
  <si>
    <t>"002-000"</t>
  </si>
  <si>
    <t>"003-000"</t>
  </si>
  <si>
    <t>"004-000"</t>
  </si>
  <si>
    <t>"005-000"</t>
  </si>
  <si>
    <t>"006-000"</t>
  </si>
  <si>
    <t>"007-000"</t>
  </si>
  <si>
    <t>"008-000"</t>
  </si>
  <si>
    <t>"009-000"</t>
  </si>
  <si>
    <t>"010-000"</t>
  </si>
  <si>
    <t>"101-000"</t>
  </si>
  <si>
    <t>"102-000"</t>
  </si>
  <si>
    <t>"103-000"</t>
  </si>
  <si>
    <t>"104-000"</t>
  </si>
  <si>
    <t>"공지종류명"</t>
  </si>
  <si>
    <t>"공지제목"</t>
  </si>
  <si>
    <t>"105-000"</t>
  </si>
  <si>
    <t>"106-000"</t>
  </si>
  <si>
    <t>"이벤트종류명"</t>
  </si>
  <si>
    <t>"이벤트제목"</t>
  </si>
  <si>
    <t>"107-000"</t>
  </si>
  <si>
    <t>"뉴스제목"</t>
  </si>
  <si>
    <t>"108-000"</t>
  </si>
  <si>
    <t>"문의제목"</t>
  </si>
  <si>
    <t>"답변상태명"</t>
  </si>
  <si>
    <t>"109-000"</t>
  </si>
  <si>
    <t>"FAQ종류명"</t>
  </si>
  <si>
    <t>"110-000"</t>
  </si>
  <si>
    <t>"111-000"</t>
  </si>
  <si>
    <t>"112-000"</t>
  </si>
  <si>
    <t>"113-000"</t>
  </si>
  <si>
    <t>"114-000"</t>
  </si>
  <si>
    <t>"115-000"</t>
  </si>
  <si>
    <t>"116-000"</t>
  </si>
  <si>
    <t>"117-000"</t>
  </si>
  <si>
    <t>"118-000"</t>
  </si>
  <si>
    <t>"119-000"</t>
  </si>
  <si>
    <t>Json 샘플(수식으로 생성)</t>
    <phoneticPr fontId="3" type="noConversion"/>
  </si>
  <si>
    <t>Json용 샘플데이터</t>
    <phoneticPr fontId="3" type="noConversion"/>
  </si>
  <si>
    <t>Target URL(가안)</t>
    <phoneticPr fontId="3" type="noConversion"/>
  </si>
  <si>
    <t>코드목록</t>
    <phoneticPr fontId="3" type="noConversion"/>
  </si>
  <si>
    <t>코드그룹ID</t>
    <phoneticPr fontId="3" type="noConversion"/>
  </si>
  <si>
    <t>코드그룹명</t>
    <phoneticPr fontId="3" type="noConversion"/>
  </si>
  <si>
    <t>코드</t>
    <phoneticPr fontId="3" type="noConversion"/>
  </si>
  <si>
    <t>코드명</t>
    <phoneticPr fontId="3" type="noConversion"/>
  </si>
  <si>
    <t>정렬순서</t>
    <phoneticPr fontId="3" type="noConversion"/>
  </si>
  <si>
    <t>일반설정</t>
    <phoneticPr fontId="3" type="noConversion"/>
  </si>
  <si>
    <t>알림설정</t>
    <phoneticPr fontId="3" type="noConversion"/>
  </si>
  <si>
    <t>차단/해제/안심등록</t>
    <phoneticPr fontId="3" type="noConversion"/>
  </si>
  <si>
    <t>스미싱탐지</t>
    <phoneticPr fontId="3" type="noConversion"/>
  </si>
  <si>
    <t>포인트</t>
    <phoneticPr fontId="3" type="noConversion"/>
  </si>
  <si>
    <t>999</t>
    <phoneticPr fontId="3" type="noConversion"/>
  </si>
  <si>
    <t>기타</t>
    <phoneticPr fontId="3" type="noConversion"/>
  </si>
  <si>
    <t>전체</t>
    <phoneticPr fontId="3" type="noConversion"/>
  </si>
  <si>
    <t>전체+개별</t>
    <phoneticPr fontId="3" type="noConversion"/>
  </si>
  <si>
    <t>개별</t>
    <phoneticPr fontId="3" type="noConversion"/>
  </si>
  <si>
    <t>일반</t>
    <phoneticPr fontId="3" type="noConversion"/>
  </si>
  <si>
    <t>일반, 서비스중단 등</t>
    <phoneticPr fontId="3" type="noConversion"/>
  </si>
  <si>
    <t>개인</t>
    <phoneticPr fontId="3" type="noConversion"/>
  </si>
  <si>
    <t>003</t>
    <phoneticPr fontId="3" type="noConversion"/>
  </si>
  <si>
    <t>이벤트</t>
    <phoneticPr fontId="3" type="noConversion"/>
  </si>
  <si>
    <t>뉴스</t>
    <phoneticPr fontId="3" type="noConversion"/>
  </si>
  <si>
    <t>아이루커 소식</t>
    <phoneticPr fontId="3" type="noConversion"/>
  </si>
  <si>
    <t>광고등급코드</t>
  </si>
  <si>
    <t>수시</t>
    <phoneticPr fontId="3" type="noConversion"/>
  </si>
  <si>
    <t>고정</t>
    <phoneticPr fontId="3" type="noConversion"/>
  </si>
  <si>
    <t>전면</t>
    <phoneticPr fontId="3" type="noConversion"/>
  </si>
  <si>
    <t>판매광고</t>
  </si>
  <si>
    <t>홍보광고</t>
  </si>
  <si>
    <t>조회</t>
    <phoneticPr fontId="3" type="noConversion"/>
  </si>
  <si>
    <t>처리</t>
    <phoneticPr fontId="3" type="noConversion"/>
  </si>
  <si>
    <t>Admin</t>
    <phoneticPr fontId="3" type="noConversion"/>
  </si>
  <si>
    <t>접수</t>
    <phoneticPr fontId="3" type="noConversion"/>
  </si>
  <si>
    <t>진행</t>
    <phoneticPr fontId="3" type="noConversion"/>
  </si>
  <si>
    <t>완료</t>
    <phoneticPr fontId="3" type="noConversion"/>
  </si>
  <si>
    <t>전화</t>
    <phoneticPr fontId="3" type="noConversion"/>
  </si>
  <si>
    <t>일반문자</t>
    <phoneticPr fontId="3" type="noConversion"/>
  </si>
  <si>
    <t>URL 없는 문자</t>
    <phoneticPr fontId="3" type="noConversion"/>
  </si>
  <si>
    <t>URL문자</t>
    <phoneticPr fontId="3" type="noConversion"/>
  </si>
  <si>
    <t>URL 있는 문자</t>
    <phoneticPr fontId="3" type="noConversion"/>
  </si>
  <si>
    <t>일반채팅</t>
    <phoneticPr fontId="3" type="noConversion"/>
  </si>
  <si>
    <t>URL 없는 채팅</t>
    <phoneticPr fontId="3" type="noConversion"/>
  </si>
  <si>
    <t>URL채팅</t>
    <phoneticPr fontId="3" type="noConversion"/>
  </si>
  <si>
    <t>URL 있는 채팅</t>
    <phoneticPr fontId="3" type="noConversion"/>
  </si>
  <si>
    <t>대기</t>
  </si>
  <si>
    <t>성공</t>
  </si>
  <si>
    <t>실패</t>
  </si>
  <si>
    <t>SmsDiagRsltCd</t>
    <phoneticPr fontId="3" type="noConversion"/>
  </si>
  <si>
    <t>분석중</t>
    <phoneticPr fontId="3" type="noConversion"/>
  </si>
  <si>
    <t>의심</t>
    <phoneticPr fontId="3" type="noConversion"/>
  </si>
  <si>
    <t>안전</t>
    <phoneticPr fontId="3" type="noConversion"/>
  </si>
  <si>
    <t xml:space="preserve">대출 </t>
  </si>
  <si>
    <t>문자&amp;전화</t>
    <phoneticPr fontId="3" type="noConversion"/>
  </si>
  <si>
    <t>도박/게임</t>
  </si>
  <si>
    <t>성인/유흥</t>
  </si>
  <si>
    <t>휴대폰판매</t>
  </si>
  <si>
    <t>보험안내</t>
  </si>
  <si>
    <t>대리운전</t>
  </si>
  <si>
    <t>인터넷가입</t>
  </si>
  <si>
    <t>주식/투자</t>
    <phoneticPr fontId="3" type="noConversion"/>
  </si>
  <si>
    <t>택배/물류</t>
  </si>
  <si>
    <t>(상품)광고</t>
    <phoneticPr fontId="3" type="noConversion"/>
  </si>
  <si>
    <t>011</t>
    <phoneticPr fontId="3" type="noConversion"/>
  </si>
  <si>
    <t>공공기관</t>
    <phoneticPr fontId="3" type="noConversion"/>
  </si>
  <si>
    <t>012</t>
    <phoneticPr fontId="3" type="noConversion"/>
  </si>
  <si>
    <t>금융기관</t>
    <phoneticPr fontId="3" type="noConversion"/>
  </si>
  <si>
    <t>101</t>
    <phoneticPr fontId="3" type="noConversion"/>
  </si>
  <si>
    <t>텔레마케팅</t>
    <phoneticPr fontId="3" type="noConversion"/>
  </si>
  <si>
    <t>102</t>
    <phoneticPr fontId="3" type="noConversion"/>
  </si>
  <si>
    <t>보이스피싱</t>
    <phoneticPr fontId="3" type="noConversion"/>
  </si>
  <si>
    <t>103</t>
  </si>
  <si>
    <t>전화유도</t>
    <phoneticPr fontId="3" type="noConversion"/>
  </si>
  <si>
    <t>104</t>
  </si>
  <si>
    <t>설문조사</t>
    <phoneticPr fontId="3" type="noConversion"/>
  </si>
  <si>
    <t>105</t>
  </si>
  <si>
    <t>중고사기</t>
    <phoneticPr fontId="3" type="noConversion"/>
  </si>
  <si>
    <t>106</t>
  </si>
  <si>
    <t>스미싱</t>
    <phoneticPr fontId="3" type="noConversion"/>
  </si>
  <si>
    <t>사용자추천</t>
    <phoneticPr fontId="3" type="noConversion"/>
  </si>
  <si>
    <t>신고등록</t>
    <phoneticPr fontId="3" type="noConversion"/>
  </si>
  <si>
    <t>광고이용</t>
    <phoneticPr fontId="3" type="noConversion"/>
  </si>
  <si>
    <t>일반이벤트</t>
    <phoneticPr fontId="3" type="noConversion"/>
  </si>
  <si>
    <t>특별이벤트</t>
    <phoneticPr fontId="3" type="noConversion"/>
  </si>
  <si>
    <t>온라인</t>
  </si>
  <si>
    <t>배치</t>
  </si>
  <si>
    <t>화면</t>
  </si>
  <si>
    <t>00Y</t>
  </si>
  <si>
    <t>국제전화</t>
    <phoneticPr fontId="3" type="noConversion"/>
  </si>
  <si>
    <t>001~009</t>
    <phoneticPr fontId="3" type="noConversion"/>
  </si>
  <si>
    <t>01Y</t>
  </si>
  <si>
    <t>무선전화</t>
    <phoneticPr fontId="3" type="noConversion"/>
  </si>
  <si>
    <t>010~019</t>
    <phoneticPr fontId="3" type="noConversion"/>
  </si>
  <si>
    <t>02</t>
    <phoneticPr fontId="3" type="noConversion"/>
  </si>
  <si>
    <t>지역번호(서울)</t>
    <phoneticPr fontId="3" type="noConversion"/>
  </si>
  <si>
    <t>021~029</t>
    <phoneticPr fontId="3" type="noConversion"/>
  </si>
  <si>
    <t>03Z~06Z</t>
    <phoneticPr fontId="3" type="noConversion"/>
  </si>
  <si>
    <t>지역번호(서울외)</t>
    <phoneticPr fontId="3" type="noConversion"/>
  </si>
  <si>
    <t>031~069</t>
    <phoneticPr fontId="3" type="noConversion"/>
  </si>
  <si>
    <t>07Y</t>
    <phoneticPr fontId="3" type="noConversion"/>
  </si>
  <si>
    <t>인터넷(VoIP)전화</t>
    <phoneticPr fontId="3" type="noConversion"/>
  </si>
  <si>
    <t>070</t>
    <phoneticPr fontId="3" type="noConversion"/>
  </si>
  <si>
    <t>08Y</t>
  </si>
  <si>
    <t>시외전화</t>
    <phoneticPr fontId="3" type="noConversion"/>
  </si>
  <si>
    <t>081~089</t>
    <phoneticPr fontId="3" type="noConversion"/>
  </si>
  <si>
    <t>09Y</t>
  </si>
  <si>
    <t>예비</t>
    <phoneticPr fontId="3" type="noConversion"/>
  </si>
  <si>
    <t>091~099</t>
    <phoneticPr fontId="3" type="noConversion"/>
  </si>
  <si>
    <t>0N0</t>
  </si>
  <si>
    <t>공통서비스</t>
    <phoneticPr fontId="3" type="noConversion"/>
  </si>
  <si>
    <t>020~090</t>
    <phoneticPr fontId="3" type="noConversion"/>
  </si>
  <si>
    <t>10Y</t>
  </si>
  <si>
    <t>통신 사업자 민원안내 등</t>
    <phoneticPr fontId="3" type="noConversion"/>
  </si>
  <si>
    <t>100~109</t>
    <phoneticPr fontId="3" type="noConversion"/>
  </si>
  <si>
    <t>11Y,12Y,13Y,18Y</t>
    <phoneticPr fontId="3" type="noConversion"/>
  </si>
  <si>
    <t>긴급 민원 신고</t>
    <phoneticPr fontId="3" type="noConversion"/>
  </si>
  <si>
    <t>111~189</t>
    <phoneticPr fontId="3" type="noConversion"/>
  </si>
  <si>
    <t>13YY</t>
  </si>
  <si>
    <t>공공기관 생활정보, 안내, 상담</t>
    <phoneticPr fontId="3" type="noConversion"/>
  </si>
  <si>
    <t>131~139</t>
    <phoneticPr fontId="3" type="noConversion"/>
  </si>
  <si>
    <t>14YY</t>
  </si>
  <si>
    <t>기간통신사업자 부가서비스</t>
    <phoneticPr fontId="3" type="noConversion"/>
  </si>
  <si>
    <t>141~149</t>
    <phoneticPr fontId="3" type="noConversion"/>
  </si>
  <si>
    <t>15YY,16YY,18YY</t>
    <phoneticPr fontId="3" type="noConversion"/>
  </si>
  <si>
    <t>기간통신사업자 공통/자율 부가서비스</t>
    <phoneticPr fontId="3" type="noConversion"/>
  </si>
  <si>
    <t>1500~1599, 1600~1699, 1800~1899</t>
    <phoneticPr fontId="3" type="noConversion"/>
  </si>
  <si>
    <t>17YY,19YY</t>
    <phoneticPr fontId="3" type="noConversion"/>
  </si>
  <si>
    <t>1700~1799, 1900~1999</t>
    <phoneticPr fontId="3" type="noConversion"/>
  </si>
  <si>
    <t>RcvSeq</t>
  </si>
  <si>
    <t>요청접수이력 테이블의 접수순번 채번</t>
    <phoneticPr fontId="3" type="noConversion"/>
  </si>
  <si>
    <t>문의번호 채번</t>
    <phoneticPr fontId="3" type="noConversion"/>
  </si>
  <si>
    <t>001-000</t>
  </si>
  <si>
    <t>최초등록-정상(신규)</t>
    <phoneticPr fontId="3" type="noConversion"/>
  </si>
  <si>
    <t>001-900</t>
    <phoneticPr fontId="3" type="noConversion"/>
  </si>
  <si>
    <t>최초등록-정상(변경)</t>
    <phoneticPr fontId="3" type="noConversion"/>
  </si>
  <si>
    <t>001-999</t>
  </si>
  <si>
    <t>최초등록-오류</t>
  </si>
  <si>
    <t>002-000</t>
  </si>
  <si>
    <t>전화확인-정상</t>
  </si>
  <si>
    <t>002-900</t>
    <phoneticPr fontId="3" type="noConversion"/>
  </si>
  <si>
    <t>전화확인-Not Found</t>
    <phoneticPr fontId="3" type="noConversion"/>
  </si>
  <si>
    <t>002-999</t>
  </si>
  <si>
    <t>전화확인-오류</t>
  </si>
  <si>
    <t>003-000</t>
  </si>
  <si>
    <t>일반문자확인-정상</t>
  </si>
  <si>
    <t>003-900</t>
    <phoneticPr fontId="3" type="noConversion"/>
  </si>
  <si>
    <t>일반문자확인-Not Found</t>
    <phoneticPr fontId="3" type="noConversion"/>
  </si>
  <si>
    <t>003-999</t>
  </si>
  <si>
    <t>일반문자확인-오류</t>
  </si>
  <si>
    <t>004-000</t>
  </si>
  <si>
    <t>URL문자확인-정상</t>
  </si>
  <si>
    <t>004-901</t>
  </si>
  <si>
    <t>URL문자확인-설치파일존재미확인&amp;AI진단완료</t>
    <phoneticPr fontId="3" type="noConversion"/>
  </si>
  <si>
    <t>004-902</t>
  </si>
  <si>
    <t>URL문자확인-설치파일존재미확인&amp;AI진단미완료</t>
    <phoneticPr fontId="3" type="noConversion"/>
  </si>
  <si>
    <t>004-903</t>
  </si>
  <si>
    <t>URL문자확인-설치파일존재&amp;AI진단완료</t>
    <phoneticPr fontId="3" type="noConversion"/>
  </si>
  <si>
    <t>004-904</t>
  </si>
  <si>
    <t>URL문자확인-설치파일존재&amp;AI진단미완료</t>
    <phoneticPr fontId="3" type="noConversion"/>
  </si>
  <si>
    <t>004-905</t>
  </si>
  <si>
    <t>URL문자확인-설치파일미존재&amp;AI진단완료</t>
    <phoneticPr fontId="3" type="noConversion"/>
  </si>
  <si>
    <t>004-906</t>
  </si>
  <si>
    <t>URL문자확인-설치파일미존재&amp;AI진단미완료</t>
    <phoneticPr fontId="3" type="noConversion"/>
  </si>
  <si>
    <t>004-999</t>
  </si>
  <si>
    <t>URL문자확인-오류</t>
  </si>
  <si>
    <t>005-000</t>
  </si>
  <si>
    <t>신고등록(전화)-정상</t>
  </si>
  <si>
    <t>005-900</t>
    <phoneticPr fontId="3" type="noConversion"/>
  </si>
  <si>
    <t>신고등록(전화)-기타유형</t>
    <phoneticPr fontId="3" type="noConversion"/>
  </si>
  <si>
    <t>005-901</t>
  </si>
  <si>
    <t>신고등록(전화)-신고유형상이</t>
  </si>
  <si>
    <t>005-999</t>
  </si>
  <si>
    <t>신고등록(전화)-오류</t>
  </si>
  <si>
    <t>006-000</t>
    <phoneticPr fontId="3" type="noConversion"/>
  </si>
  <si>
    <t>신고등록(일반문자)-정상</t>
    <phoneticPr fontId="3" type="noConversion"/>
  </si>
  <si>
    <t>006-900</t>
    <phoneticPr fontId="3" type="noConversion"/>
  </si>
  <si>
    <t>신고등록(일반문자)-기타유형</t>
    <phoneticPr fontId="3" type="noConversion"/>
  </si>
  <si>
    <t>006-901</t>
    <phoneticPr fontId="3" type="noConversion"/>
  </si>
  <si>
    <t>신고등록(일반문자)-신고유형상이</t>
    <phoneticPr fontId="3" type="noConversion"/>
  </si>
  <si>
    <t>006-999</t>
  </si>
  <si>
    <t>신고등록(일반문자)-오류</t>
    <phoneticPr fontId="3" type="noConversion"/>
  </si>
  <si>
    <t>007-000</t>
  </si>
  <si>
    <t>신고등록(URL문자)-정상</t>
    <phoneticPr fontId="3" type="noConversion"/>
  </si>
  <si>
    <t>007-900</t>
    <phoneticPr fontId="3" type="noConversion"/>
  </si>
  <si>
    <t>신고등록(URL문자)-기타유형</t>
    <phoneticPr fontId="3" type="noConversion"/>
  </si>
  <si>
    <t>007-901</t>
    <phoneticPr fontId="3" type="noConversion"/>
  </si>
  <si>
    <t>신고등록(URL문자)-신고유형상이</t>
    <phoneticPr fontId="3" type="noConversion"/>
  </si>
  <si>
    <t>007-999</t>
  </si>
  <si>
    <t>신고등록(URL문자)-오류</t>
    <phoneticPr fontId="3" type="noConversion"/>
  </si>
  <si>
    <t>008-000</t>
    <phoneticPr fontId="3" type="noConversion"/>
  </si>
  <si>
    <t>스팸(스미싱) 해제-정상</t>
    <phoneticPr fontId="3" type="noConversion"/>
  </si>
  <si>
    <t>008-900</t>
    <phoneticPr fontId="3" type="noConversion"/>
  </si>
  <si>
    <t>스팸(스미싱) 해제-Not Found</t>
    <phoneticPr fontId="3" type="noConversion"/>
  </si>
  <si>
    <t>008-999</t>
    <phoneticPr fontId="3" type="noConversion"/>
  </si>
  <si>
    <t>스팸(스미싱) 해제-오류</t>
    <phoneticPr fontId="3" type="noConversion"/>
  </si>
  <si>
    <t>009-000</t>
    <phoneticPr fontId="3" type="noConversion"/>
  </si>
  <si>
    <t>안심 등록-정상</t>
    <phoneticPr fontId="3" type="noConversion"/>
  </si>
  <si>
    <t>009-900</t>
    <phoneticPr fontId="3" type="noConversion"/>
  </si>
  <si>
    <t>안심 등록-Not Found</t>
    <phoneticPr fontId="3" type="noConversion"/>
  </si>
  <si>
    <t>009-999</t>
    <phoneticPr fontId="3" type="noConversion"/>
  </si>
  <si>
    <t>안심 등록-오류</t>
    <phoneticPr fontId="3" type="noConversion"/>
  </si>
  <si>
    <t>010-000</t>
    <phoneticPr fontId="3" type="noConversion"/>
  </si>
  <si>
    <t>스미싱정밀진단-정상</t>
    <phoneticPr fontId="3" type="noConversion"/>
  </si>
  <si>
    <t>010-901</t>
  </si>
  <si>
    <t>스미싱정밀진단-설치파일존재미확인&amp;AI진단완료</t>
  </si>
  <si>
    <t>010-902</t>
  </si>
  <si>
    <t>스미싱정밀진단-설치파일존재미확인&amp;AI진단미완료</t>
  </si>
  <si>
    <t>010-903</t>
  </si>
  <si>
    <t>스미싱정밀진단-설치파일존재&amp;AI진단완료</t>
  </si>
  <si>
    <t>010-904</t>
  </si>
  <si>
    <t>스미싱정밀진단-설치파일존재&amp;AI진단미완료</t>
  </si>
  <si>
    <t>010-905</t>
  </si>
  <si>
    <t>스미싱정밀진단-설치파일미존재&amp;AI진단완료</t>
  </si>
  <si>
    <t>010-906</t>
  </si>
  <si>
    <t>스미싱정밀진단-설치파일미존재&amp;AI진단미완료</t>
  </si>
  <si>
    <t>010-999</t>
  </si>
  <si>
    <t>스미싱정밀진단-오류</t>
  </si>
  <si>
    <t>101-000</t>
    <phoneticPr fontId="3" type="noConversion"/>
  </si>
  <si>
    <t>메인페이지조회-정상</t>
    <phoneticPr fontId="3" type="noConversion"/>
  </si>
  <si>
    <t>101-901</t>
    <phoneticPr fontId="3" type="noConversion"/>
  </si>
  <si>
    <t>메인페이지조회-Not Found</t>
    <phoneticPr fontId="3" type="noConversion"/>
  </si>
  <si>
    <t>101-999</t>
    <phoneticPr fontId="3" type="noConversion"/>
  </si>
  <si>
    <t>메인페이지조회-오류</t>
    <phoneticPr fontId="3" type="noConversion"/>
  </si>
  <si>
    <t>102-000</t>
    <phoneticPr fontId="3" type="noConversion"/>
  </si>
  <si>
    <t>나의 신고이력 조회-정상</t>
    <phoneticPr fontId="3" type="noConversion"/>
  </si>
  <si>
    <t>102-901</t>
    <phoneticPr fontId="3" type="noConversion"/>
  </si>
  <si>
    <t>나의 신고이력 조회-Not Found</t>
    <phoneticPr fontId="3" type="noConversion"/>
  </si>
  <si>
    <t>102-999</t>
    <phoneticPr fontId="3" type="noConversion"/>
  </si>
  <si>
    <t>나의 신고이력 조회-오류</t>
    <phoneticPr fontId="3" type="noConversion"/>
  </si>
  <si>
    <t>103-000</t>
    <phoneticPr fontId="3" type="noConversion"/>
  </si>
  <si>
    <t>나의 포인트 조회-정상</t>
    <phoneticPr fontId="3" type="noConversion"/>
  </si>
  <si>
    <t>103-901</t>
    <phoneticPr fontId="3" type="noConversion"/>
  </si>
  <si>
    <t>나의 포인트 조회-Not Found</t>
    <phoneticPr fontId="3" type="noConversion"/>
  </si>
  <si>
    <t>103-999</t>
    <phoneticPr fontId="3" type="noConversion"/>
  </si>
  <si>
    <t>나의 포인트 조회-오류</t>
    <phoneticPr fontId="3" type="noConversion"/>
  </si>
  <si>
    <t>104-000</t>
    <phoneticPr fontId="3" type="noConversion"/>
  </si>
  <si>
    <t>일반공지 목록 조회-정상</t>
    <phoneticPr fontId="3" type="noConversion"/>
  </si>
  <si>
    <t>104-901</t>
    <phoneticPr fontId="3" type="noConversion"/>
  </si>
  <si>
    <t>일반공지 목록 조회-Not Found</t>
    <phoneticPr fontId="3" type="noConversion"/>
  </si>
  <si>
    <t>104-999</t>
    <phoneticPr fontId="3" type="noConversion"/>
  </si>
  <si>
    <t>일반공지 목록 조회-오류</t>
    <phoneticPr fontId="3" type="noConversion"/>
  </si>
  <si>
    <t>105-000</t>
  </si>
  <si>
    <t>개별공지 목록 조회-정상</t>
    <phoneticPr fontId="3" type="noConversion"/>
  </si>
  <si>
    <t>105-901</t>
  </si>
  <si>
    <t>개별공지 목록 조회-Not Found</t>
    <phoneticPr fontId="3" type="noConversion"/>
  </si>
  <si>
    <t>105-999</t>
  </si>
  <si>
    <t>개별공지 목록 조회-오류</t>
    <phoneticPr fontId="3" type="noConversion"/>
  </si>
  <si>
    <t>106-000</t>
  </si>
  <si>
    <t>이벤트 목록 조회-정상</t>
    <phoneticPr fontId="3" type="noConversion"/>
  </si>
  <si>
    <t>106-901</t>
  </si>
  <si>
    <t>이벤트 목록 조회-Not Found</t>
    <phoneticPr fontId="3" type="noConversion"/>
  </si>
  <si>
    <t>106-999</t>
  </si>
  <si>
    <t>이벤트 목록 조회-오류</t>
    <phoneticPr fontId="3" type="noConversion"/>
  </si>
  <si>
    <t>107-000</t>
  </si>
  <si>
    <t>뉴스 목록 조회-정상</t>
    <phoneticPr fontId="3" type="noConversion"/>
  </si>
  <si>
    <t>107-901</t>
  </si>
  <si>
    <t>뉴스 목록 조회-Not Found</t>
    <phoneticPr fontId="3" type="noConversion"/>
  </si>
  <si>
    <t>107-999</t>
  </si>
  <si>
    <t>뉴스 목록 조회-오류</t>
    <phoneticPr fontId="3" type="noConversion"/>
  </si>
  <si>
    <t>108-000</t>
    <phoneticPr fontId="3" type="noConversion"/>
  </si>
  <si>
    <t>문의 목록 조회-정상</t>
    <phoneticPr fontId="3" type="noConversion"/>
  </si>
  <si>
    <t>108-901</t>
    <phoneticPr fontId="3" type="noConversion"/>
  </si>
  <si>
    <t>문의 목록 조회-Not Found</t>
    <phoneticPr fontId="3" type="noConversion"/>
  </si>
  <si>
    <t>108-999</t>
    <phoneticPr fontId="3" type="noConversion"/>
  </si>
  <si>
    <t>문의 목록 조회-오류</t>
    <phoneticPr fontId="3" type="noConversion"/>
  </si>
  <si>
    <t>109-000</t>
    <phoneticPr fontId="3" type="noConversion"/>
  </si>
  <si>
    <t>FAQ 목록 조회-정상</t>
    <phoneticPr fontId="3" type="noConversion"/>
  </si>
  <si>
    <t>109-901</t>
    <phoneticPr fontId="3" type="noConversion"/>
  </si>
  <si>
    <t>FAQ 목록 조회-Not Found</t>
    <phoneticPr fontId="3" type="noConversion"/>
  </si>
  <si>
    <t>109-999</t>
    <phoneticPr fontId="3" type="noConversion"/>
  </si>
  <si>
    <t>FAQ 목록 조회-오류</t>
    <phoneticPr fontId="3" type="noConversion"/>
  </si>
  <si>
    <t>110-000</t>
  </si>
  <si>
    <t>일반공지 내역 확인-정상</t>
    <phoneticPr fontId="3" type="noConversion"/>
  </si>
  <si>
    <t>110-999</t>
  </si>
  <si>
    <t>일반공지 내역 확인-오류</t>
    <phoneticPr fontId="3" type="noConversion"/>
  </si>
  <si>
    <t>111-000</t>
  </si>
  <si>
    <t>개별공지 내역 확인-정상</t>
    <phoneticPr fontId="3" type="noConversion"/>
  </si>
  <si>
    <t>111-999</t>
  </si>
  <si>
    <t>개별공지 내역 확인-오류</t>
    <phoneticPr fontId="3" type="noConversion"/>
  </si>
  <si>
    <t>112-000</t>
  </si>
  <si>
    <t>이벤트 내역 확인-정상</t>
    <phoneticPr fontId="3" type="noConversion"/>
  </si>
  <si>
    <t>112-999</t>
  </si>
  <si>
    <t>이벤트 내역 확인-오류</t>
    <phoneticPr fontId="3" type="noConversion"/>
  </si>
  <si>
    <t>113-000</t>
  </si>
  <si>
    <t>뉴스 내역 확인-정상</t>
    <phoneticPr fontId="3" type="noConversion"/>
  </si>
  <si>
    <t>113-999</t>
  </si>
  <si>
    <t>뉴스 내역 확인-오류</t>
    <phoneticPr fontId="3" type="noConversion"/>
  </si>
  <si>
    <t>114-000</t>
    <phoneticPr fontId="3" type="noConversion"/>
  </si>
  <si>
    <t>문의 내역 확인-정상</t>
    <phoneticPr fontId="3" type="noConversion"/>
  </si>
  <si>
    <t>114-999</t>
    <phoneticPr fontId="3" type="noConversion"/>
  </si>
  <si>
    <t>문의 내역 확인-오류</t>
    <phoneticPr fontId="3" type="noConversion"/>
  </si>
  <si>
    <t>115-000</t>
    <phoneticPr fontId="3" type="noConversion"/>
  </si>
  <si>
    <t>FAQ 내역 확인-정상</t>
    <phoneticPr fontId="3" type="noConversion"/>
  </si>
  <si>
    <t>115-999</t>
    <phoneticPr fontId="3" type="noConversion"/>
  </si>
  <si>
    <t>FAQ 내역 확인-오류</t>
    <phoneticPr fontId="3" type="noConversion"/>
  </si>
  <si>
    <t>116-000</t>
    <phoneticPr fontId="3" type="noConversion"/>
  </si>
  <si>
    <t>광고 확인-정상</t>
    <phoneticPr fontId="3" type="noConversion"/>
  </si>
  <si>
    <t>116-999</t>
    <phoneticPr fontId="3" type="noConversion"/>
  </si>
  <si>
    <t>광고 확인-오류</t>
    <phoneticPr fontId="3" type="noConversion"/>
  </si>
  <si>
    <t>117-000</t>
    <phoneticPr fontId="3" type="noConversion"/>
  </si>
  <si>
    <t>문의 등록-정상</t>
    <phoneticPr fontId="3" type="noConversion"/>
  </si>
  <si>
    <t>117-999</t>
    <phoneticPr fontId="3" type="noConversion"/>
  </si>
  <si>
    <t>문의 등록-오류</t>
    <phoneticPr fontId="3" type="noConversion"/>
  </si>
  <si>
    <t>118-000</t>
    <phoneticPr fontId="3" type="noConversion"/>
  </si>
  <si>
    <t>문의 내역 변경-정상</t>
    <phoneticPr fontId="3" type="noConversion"/>
  </si>
  <si>
    <t>118-999</t>
    <phoneticPr fontId="3" type="noConversion"/>
  </si>
  <si>
    <t>문의 내역 변경-오류</t>
    <phoneticPr fontId="3" type="noConversion"/>
  </si>
  <si>
    <t>119-000</t>
    <phoneticPr fontId="3" type="noConversion"/>
  </si>
  <si>
    <t>문의 내역 삭제-정상</t>
    <phoneticPr fontId="3" type="noConversion"/>
  </si>
  <si>
    <t>119-999</t>
    <phoneticPr fontId="3" type="noConversion"/>
  </si>
  <si>
    <t>문의 내역 삭제-오류</t>
    <phoneticPr fontId="3" type="noConversion"/>
  </si>
  <si>
    <t>최초 앱설치</t>
  </si>
  <si>
    <t>전화 수신</t>
  </si>
  <si>
    <t>일반문자 수신</t>
  </si>
  <si>
    <t>URL문자 수신</t>
  </si>
  <si>
    <t>스팸(스미싱) 해제</t>
  </si>
  <si>
    <t>안심번호 등록</t>
  </si>
  <si>
    <t>스미싱 정밀진단</t>
  </si>
  <si>
    <t>메인 페이지 조회</t>
  </si>
  <si>
    <t>나의 신고이력 조회</t>
  </si>
  <si>
    <t>나의 포인트 조회</t>
  </si>
  <si>
    <t>일반공지 목록 조회</t>
  </si>
  <si>
    <t>개별공지 목록 조회</t>
  </si>
  <si>
    <t>이벤트 목록 조회</t>
  </si>
  <si>
    <t>107</t>
  </si>
  <si>
    <t>뉴스 목록 조회</t>
  </si>
  <si>
    <t>108</t>
  </si>
  <si>
    <t>문의 목록 조회</t>
  </si>
  <si>
    <t>109</t>
  </si>
  <si>
    <t>FAQ 목록 조회</t>
  </si>
  <si>
    <t>110</t>
  </si>
  <si>
    <t>일반공지 내역 확인</t>
  </si>
  <si>
    <t>111</t>
  </si>
  <si>
    <t>개별공지 내역 확인</t>
  </si>
  <si>
    <t>112</t>
  </si>
  <si>
    <t>이벤트 내역 확인</t>
  </si>
  <si>
    <t>113</t>
  </si>
  <si>
    <t>뉴스 내역 확인</t>
  </si>
  <si>
    <t>114</t>
  </si>
  <si>
    <t>문의 내역 확인</t>
  </si>
  <si>
    <t>115</t>
  </si>
  <si>
    <t>FAQ 내역 확인</t>
  </si>
  <si>
    <t>116</t>
  </si>
  <si>
    <t>광고 확인</t>
  </si>
  <si>
    <t>117</t>
  </si>
  <si>
    <t>문의 등록</t>
  </si>
  <si>
    <t>118</t>
  </si>
  <si>
    <t>문의 내역 변경</t>
  </si>
  <si>
    <t>119</t>
  </si>
  <si>
    <t>문의 내역 삭제</t>
  </si>
  <si>
    <t>이벤트참여</t>
    <phoneticPr fontId="3" type="noConversion"/>
  </si>
  <si>
    <t>포인트지급(-)</t>
    <phoneticPr fontId="3" type="noConversion"/>
  </si>
  <si>
    <t>오신고등록(-)</t>
    <phoneticPr fontId="3" type="noConversion"/>
  </si>
  <si>
    <t>사용자추천(+)</t>
    <phoneticPr fontId="3" type="noConversion"/>
  </si>
  <si>
    <t>신고등록(+)</t>
    <phoneticPr fontId="3" type="noConversion"/>
  </si>
  <si>
    <t>광고이용(+)</t>
    <phoneticPr fontId="3" type="noConversion"/>
  </si>
  <si>
    <t>이벤트참여(+)</t>
    <phoneticPr fontId="3" type="noConversion"/>
  </si>
  <si>
    <t>일반공지 조회(+)</t>
    <phoneticPr fontId="3" type="noConversion"/>
  </si>
  <si>
    <t>개별공지 조회(+)</t>
    <phoneticPr fontId="3" type="noConversion"/>
  </si>
  <si>
    <t>문의(+)</t>
    <phoneticPr fontId="3" type="noConversion"/>
  </si>
  <si>
    <t>이벤트 조회(+)</t>
    <phoneticPr fontId="3" type="noConversion"/>
  </si>
  <si>
    <t>스미싱 정밀진단 이용(+)</t>
    <phoneticPr fontId="3" type="noConversion"/>
  </si>
  <si>
    <t>뉴스 조회(+)</t>
    <phoneticPr fontId="3" type="noConversion"/>
  </si>
  <si>
    <t>011</t>
  </si>
  <si>
    <t>FAQ 조회(+)</t>
    <phoneticPr fontId="3" type="noConversion"/>
  </si>
  <si>
    <t>사용언어</t>
    <phoneticPr fontId="3" type="noConversion"/>
  </si>
  <si>
    <t>KOR</t>
    <phoneticPr fontId="3" type="noConversion"/>
  </si>
  <si>
    <t>한국어</t>
    <phoneticPr fontId="3" type="noConversion"/>
  </si>
  <si>
    <t>ENG</t>
    <phoneticPr fontId="3" type="noConversion"/>
  </si>
  <si>
    <t>영어</t>
    <phoneticPr fontId="3" type="noConversion"/>
  </si>
  <si>
    <t>JPN</t>
    <phoneticPr fontId="3" type="noConversion"/>
  </si>
  <si>
    <t>일본어</t>
    <phoneticPr fontId="3" type="noConversion"/>
  </si>
  <si>
    <t>CHA</t>
    <phoneticPr fontId="3" type="noConversion"/>
  </si>
  <si>
    <t>중국어</t>
    <phoneticPr fontId="3" type="noConversion"/>
  </si>
  <si>
    <t>PageReqPartCd</t>
  </si>
  <si>
    <t>FWD</t>
    <phoneticPr fontId="3" type="noConversion"/>
  </si>
  <si>
    <t>앞으로(Forward)</t>
    <phoneticPr fontId="3" type="noConversion"/>
  </si>
  <si>
    <t>BAK</t>
    <phoneticPr fontId="3" type="noConversion"/>
  </si>
  <si>
    <t>뒤로(Back)</t>
    <phoneticPr fontId="3" type="noConversion"/>
  </si>
  <si>
    <t>※ Api 더블Click시 해당 API연동규격으로 이동</t>
    <phoneticPr fontId="3" type="noConversion"/>
  </si>
  <si>
    <t>2021.07.16</t>
    <phoneticPr fontId="3" type="noConversion"/>
  </si>
  <si>
    <t>※ 코드ID 더블Click시 해당 코드목록으로 이동</t>
    <phoneticPr fontId="3" type="noConversion"/>
  </si>
  <si>
    <t>(● : 필수, ○ : 선택, ◐ : 조건부 필수)</t>
  </si>
  <si>
    <t>API</t>
    <phoneticPr fontId="3" type="noConversion"/>
  </si>
  <si>
    <t>API명</t>
    <phoneticPr fontId="3" type="noConversion"/>
  </si>
  <si>
    <t>신고등록(전화)</t>
    <phoneticPr fontId="3" type="noConversion"/>
  </si>
  <si>
    <t>URL문자수신</t>
    <phoneticPr fontId="3" type="noConversion"/>
  </si>
  <si>
    <t>ApiIncomingPhnCall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</si>
</sst>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7">
    <font>
      <sz val="11"/>
      <color theme="1"/>
      <name val="맑은 고딕"/>
      <family val="2"/>
      <charset val="129"/>
      <scheme val="minor"/>
    </font>
    <font>
      <sz val="11"/>
      <color rgb="FFFF0000"/>
      <name val="맑은 고딕"/>
      <family val="2"/>
      <charset val="129"/>
      <scheme val="minor"/>
    </font>
    <font>
      <sz val="11"/>
      <name val="맑은 고딕"/>
      <family val="3"/>
      <charset val="129"/>
      <scheme val="minor"/>
    </font>
    <font>
      <sz val="8"/>
      <name val="맑은 고딕"/>
      <family val="2"/>
      <charset val="129"/>
      <scheme val="minor"/>
    </font>
    <font>
      <sz val="20"/>
      <color theme="1"/>
      <name val="맑은 고딕"/>
      <family val="2"/>
      <charset val="129"/>
      <scheme val="minor"/>
    </font>
    <font>
      <sz val="10"/>
      <color theme="1"/>
      <name val="맑은 고딕"/>
      <family val="3"/>
      <charset val="129"/>
      <scheme val="minor"/>
    </font>
    <font>
      <sz val="10"/>
      <name val="맑은 고딕"/>
      <family val="3"/>
      <charset val="129"/>
      <scheme val="minor"/>
    </font>
    <font>
      <sz val="10"/>
      <color rgb="FF000000"/>
      <name val="맑은 고딕"/>
      <family val="3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u/>
      <sz val="16"/>
      <color theme="1"/>
      <name val="맑은 고딕"/>
      <family val="3"/>
      <charset val="129"/>
      <scheme val="minor"/>
    </font>
    <font>
      <sz val="10"/>
      <color rgb="FFFF0000"/>
      <name val="맑은 고딕"/>
      <family val="3"/>
      <charset val="129"/>
      <scheme val="minor"/>
    </font>
    <font>
      <b/>
      <u/>
      <sz val="12"/>
      <color theme="1"/>
      <name val="맑은 고딕"/>
      <family val="3"/>
      <charset val="129"/>
      <scheme val="minor"/>
    </font>
    <font>
      <u/>
      <sz val="11"/>
      <color theme="10"/>
      <name val="맑은 고딕"/>
      <family val="2"/>
      <charset val="129"/>
      <scheme val="minor"/>
    </font>
    <font>
      <b/>
      <u/>
      <sz val="16"/>
      <color theme="1"/>
      <name val="맑은 고딕"/>
      <family val="3"/>
      <charset val="129"/>
      <scheme val="minor"/>
    </font>
    <font>
      <b/>
      <sz val="10"/>
      <color rgb="FFFF0000"/>
      <name val="맑은 고딕"/>
      <family val="3"/>
      <charset val="129"/>
      <scheme val="minor"/>
    </font>
    <font>
      <sz val="9"/>
      <color theme="1"/>
      <name val="맑은 고딕"/>
      <family val="3"/>
      <charset val="129"/>
      <scheme val="minor"/>
    </font>
    <font>
      <sz val="10"/>
      <color theme="0"/>
      <name val="맑은 고딕"/>
      <family val="3"/>
      <charset val="129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39997558519241921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0" fontId="12" fillId="0" borderId="0" applyNumberFormat="0" applyFill="0" applyBorder="0" applyAlignment="0" applyProtection="0">
      <alignment vertical="center"/>
    </xf>
  </cellStyleXfs>
  <cellXfs count="94">
    <xf numFmtId="0" fontId="0" fillId="0" borderId="0" xfId="0">
      <alignment vertical="center"/>
    </xf>
    <xf numFmtId="0" fontId="0" fillId="0" borderId="1" xfId="0" applyBorder="1" applyAlignment="1">
      <alignment horizontal="center" vertical="center"/>
    </xf>
    <xf numFmtId="0" fontId="0" fillId="0" borderId="1" xfId="0" applyBorder="1" applyAlignment="1">
      <alignment horizontal="left" vertical="center"/>
    </xf>
    <xf numFmtId="0" fontId="0" fillId="0" borderId="1" xfId="0" applyBorder="1">
      <alignment vertical="center"/>
    </xf>
    <xf numFmtId="0" fontId="1" fillId="0" borderId="1" xfId="0" applyFont="1" applyBorder="1" applyAlignment="1">
      <alignment horizontal="left" vertical="center"/>
    </xf>
    <xf numFmtId="0" fontId="2" fillId="0" borderId="1" xfId="0" applyFont="1" applyBorder="1" applyAlignment="1">
      <alignment vertical="center" wrapText="1"/>
    </xf>
    <xf numFmtId="0" fontId="0" fillId="3" borderId="1" xfId="0" applyFill="1" applyBorder="1" applyAlignment="1">
      <alignment horizontal="center" vertical="center"/>
    </xf>
    <xf numFmtId="0" fontId="0" fillId="6" borderId="1" xfId="0" applyFill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3" xfId="0" applyBorder="1" applyAlignment="1">
      <alignment horizontal="left" vertical="center"/>
    </xf>
    <xf numFmtId="0" fontId="0" fillId="0" borderId="3" xfId="0" applyBorder="1">
      <alignment vertical="center"/>
    </xf>
    <xf numFmtId="0" fontId="0" fillId="3" borderId="3" xfId="0" applyFill="1" applyBorder="1" applyAlignment="1">
      <alignment horizontal="center" vertical="center"/>
    </xf>
    <xf numFmtId="0" fontId="0" fillId="4" borderId="3" xfId="0" applyFill="1" applyBorder="1" applyAlignment="1">
      <alignment horizontal="center" vertical="center"/>
    </xf>
    <xf numFmtId="0" fontId="0" fillId="8" borderId="2" xfId="0" applyFill="1" applyBorder="1" applyAlignment="1">
      <alignment horizontal="center" vertical="center"/>
    </xf>
    <xf numFmtId="0" fontId="0" fillId="8" borderId="4" xfId="0" applyFill="1" applyBorder="1" applyAlignment="1">
      <alignment horizontal="center" vertical="center"/>
    </xf>
    <xf numFmtId="0" fontId="5" fillId="0" borderId="1" xfId="0" applyFont="1" applyBorder="1">
      <alignment vertical="center"/>
    </xf>
    <xf numFmtId="0" fontId="5" fillId="0" borderId="1" xfId="0" applyFont="1" applyFill="1" applyBorder="1" applyAlignment="1">
      <alignment horizontal="left" vertical="center"/>
    </xf>
    <xf numFmtId="0" fontId="5" fillId="0" borderId="0" xfId="0" applyFont="1">
      <alignment vertical="center"/>
    </xf>
    <xf numFmtId="0" fontId="5" fillId="0" borderId="1" xfId="0" applyFont="1" applyBorder="1" applyAlignment="1">
      <alignment horizontal="center" vertical="center"/>
    </xf>
    <xf numFmtId="0" fontId="6" fillId="0" borderId="1" xfId="0" applyFont="1" applyBorder="1" applyAlignment="1">
      <alignment vertical="center" wrapText="1"/>
    </xf>
    <xf numFmtId="0" fontId="5" fillId="0" borderId="0" xfId="0" applyFont="1" applyAlignment="1">
      <alignment horizontal="center" vertical="center"/>
    </xf>
    <xf numFmtId="0" fontId="7" fillId="0" borderId="1" xfId="0" applyFont="1" applyBorder="1">
      <alignment vertical="center"/>
    </xf>
    <xf numFmtId="0" fontId="7" fillId="0" borderId="1" xfId="0" applyFont="1" applyBorder="1" applyAlignment="1">
      <alignment horizontal="center" vertical="center"/>
    </xf>
    <xf numFmtId="0" fontId="8" fillId="0" borderId="0" xfId="0" applyFont="1">
      <alignment vertical="center"/>
    </xf>
    <xf numFmtId="0" fontId="5" fillId="0" borderId="1" xfId="0" quotePrefix="1" applyFont="1" applyBorder="1" applyAlignment="1">
      <alignment horizontal="left" vertical="center"/>
    </xf>
    <xf numFmtId="0" fontId="7" fillId="0" borderId="1" xfId="0" applyFont="1" applyBorder="1" applyAlignment="1">
      <alignment horizontal="left" vertical="center"/>
    </xf>
    <xf numFmtId="0" fontId="8" fillId="2" borderId="1" xfId="0" applyFont="1" applyFill="1" applyBorder="1" applyAlignment="1">
      <alignment horizontal="center" vertical="center"/>
    </xf>
    <xf numFmtId="0" fontId="7" fillId="0" borderId="11" xfId="0" applyFont="1" applyBorder="1" applyAlignment="1">
      <alignment horizontal="left" vertical="center"/>
    </xf>
    <xf numFmtId="0" fontId="5" fillId="0" borderId="11" xfId="0" applyFont="1" applyBorder="1">
      <alignment vertical="center"/>
    </xf>
    <xf numFmtId="0" fontId="7" fillId="0" borderId="1" xfId="0" applyFont="1" applyBorder="1" applyAlignment="1">
      <alignment horizontal="center" vertical="center" wrapText="1"/>
    </xf>
    <xf numFmtId="0" fontId="7" fillId="0" borderId="1" xfId="0" quotePrefix="1" applyFont="1" applyBorder="1" applyAlignment="1">
      <alignment horizontal="center" vertical="center" wrapText="1"/>
    </xf>
    <xf numFmtId="0" fontId="5" fillId="5" borderId="1" xfId="0" applyFont="1" applyFill="1" applyBorder="1" applyAlignment="1">
      <alignment vertical="center"/>
    </xf>
    <xf numFmtId="0" fontId="5" fillId="9" borderId="1" xfId="0" applyFont="1" applyFill="1" applyBorder="1" applyAlignment="1">
      <alignment vertical="center"/>
    </xf>
    <xf numFmtId="0" fontId="5" fillId="10" borderId="1" xfId="0" applyFont="1" applyFill="1" applyBorder="1" applyAlignment="1">
      <alignment vertical="center" wrapText="1"/>
    </xf>
    <xf numFmtId="0" fontId="8" fillId="11" borderId="1" xfId="0" applyFont="1" applyFill="1" applyBorder="1" applyAlignment="1">
      <alignment horizontal="center" vertical="center"/>
    </xf>
    <xf numFmtId="0" fontId="5" fillId="0" borderId="1" xfId="0" applyFont="1" applyFill="1" applyBorder="1">
      <alignment vertical="center"/>
    </xf>
    <xf numFmtId="0" fontId="10" fillId="0" borderId="1" xfId="0" applyFont="1" applyBorder="1">
      <alignment vertical="center"/>
    </xf>
    <xf numFmtId="0" fontId="7" fillId="0" borderId="1" xfId="0" applyFont="1" applyBorder="1" applyAlignment="1">
      <alignment horizontal="left" vertical="center" readingOrder="1"/>
    </xf>
    <xf numFmtId="0" fontId="11" fillId="0" borderId="0" xfId="0" applyFont="1" applyFill="1" applyBorder="1" applyAlignment="1">
      <alignment horizontal="center" vertical="center"/>
    </xf>
    <xf numFmtId="0" fontId="5" fillId="0" borderId="1" xfId="0" applyFont="1" applyBorder="1" applyAlignment="1">
      <alignment horizontal="left" vertical="center" wrapText="1"/>
    </xf>
    <xf numFmtId="0" fontId="5" fillId="0" borderId="1" xfId="0" applyFont="1" applyBorder="1" applyAlignment="1">
      <alignment horizontal="left" vertical="center"/>
    </xf>
    <xf numFmtId="14" fontId="5" fillId="0" borderId="1" xfId="0" applyNumberFormat="1" applyFont="1" applyBorder="1" applyAlignment="1">
      <alignment horizontal="left" vertical="center"/>
    </xf>
    <xf numFmtId="0" fontId="8" fillId="5" borderId="1" xfId="0" applyFont="1" applyFill="1" applyBorder="1" applyAlignment="1">
      <alignment horizontal="center" vertical="center"/>
    </xf>
    <xf numFmtId="0" fontId="5" fillId="0" borderId="0" xfId="0" applyFont="1" applyBorder="1">
      <alignment vertical="center"/>
    </xf>
    <xf numFmtId="0" fontId="8" fillId="7" borderId="1" xfId="0" applyFont="1" applyFill="1" applyBorder="1" applyAlignment="1">
      <alignment horizontal="center" vertical="center"/>
    </xf>
    <xf numFmtId="0" fontId="12" fillId="0" borderId="1" xfId="1" quotePrefix="1" applyBorder="1" applyAlignment="1">
      <alignment horizontal="left" vertical="center"/>
    </xf>
    <xf numFmtId="0" fontId="5" fillId="0" borderId="1" xfId="0" quotePrefix="1" applyFont="1" applyFill="1" applyBorder="1">
      <alignment vertical="center"/>
    </xf>
    <xf numFmtId="0" fontId="5" fillId="0" borderId="1" xfId="0" quotePrefix="1" applyFont="1" applyBorder="1">
      <alignment vertical="center"/>
    </xf>
    <xf numFmtId="0" fontId="5" fillId="0" borderId="1" xfId="0" applyFont="1" applyBorder="1" applyAlignment="1">
      <alignment horizontal="left" vertical="center" readingOrder="1"/>
    </xf>
    <xf numFmtId="0" fontId="10" fillId="0" borderId="1" xfId="0" quotePrefix="1" applyFont="1" applyFill="1" applyBorder="1">
      <alignment vertical="center"/>
    </xf>
    <xf numFmtId="0" fontId="10" fillId="0" borderId="0" xfId="0" applyFont="1">
      <alignment vertical="center"/>
    </xf>
    <xf numFmtId="0" fontId="5" fillId="0" borderId="1" xfId="0" applyFont="1" applyFill="1" applyBorder="1" applyAlignment="1">
      <alignment vertical="center" wrapText="1"/>
    </xf>
    <xf numFmtId="0" fontId="5" fillId="0" borderId="1" xfId="0" quotePrefix="1" applyFont="1" applyFill="1" applyBorder="1" applyAlignment="1">
      <alignment horizontal="left" vertical="center"/>
    </xf>
    <xf numFmtId="0" fontId="5" fillId="0" borderId="0" xfId="0" applyFont="1" applyAlignment="1">
      <alignment horizontal="right" vertical="center"/>
    </xf>
    <xf numFmtId="0" fontId="15" fillId="0" borderId="0" xfId="0" applyFont="1" applyBorder="1" applyAlignment="1">
      <alignment vertical="center"/>
    </xf>
    <xf numFmtId="0" fontId="16" fillId="0" borderId="0" xfId="0" applyFont="1" applyAlignment="1">
      <alignment horizontal="center" vertical="center"/>
    </xf>
    <xf numFmtId="0" fontId="5" fillId="4" borderId="1" xfId="0" applyFont="1" applyFill="1" applyBorder="1">
      <alignment vertical="center"/>
    </xf>
    <xf numFmtId="0" fontId="7" fillId="4" borderId="1" xfId="0" applyFont="1" applyFill="1" applyBorder="1" applyAlignment="1">
      <alignment horizontal="left" vertical="center"/>
    </xf>
    <xf numFmtId="0" fontId="7" fillId="4" borderId="1" xfId="0" quotePrefix="1" applyFont="1" applyFill="1" applyBorder="1" applyAlignment="1">
      <alignment horizontal="center" vertical="center" wrapText="1"/>
    </xf>
    <xf numFmtId="0" fontId="7" fillId="4" borderId="11" xfId="0" applyFont="1" applyFill="1" applyBorder="1" applyAlignment="1">
      <alignment horizontal="left" vertical="center"/>
    </xf>
    <xf numFmtId="0" fontId="5" fillId="4" borderId="0" xfId="0" applyFont="1" applyFill="1">
      <alignment vertical="center"/>
    </xf>
    <xf numFmtId="0" fontId="9" fillId="0" borderId="0" xfId="0" applyFont="1" applyAlignment="1">
      <alignment horizontal="center" vertical="center"/>
    </xf>
    <xf numFmtId="0" fontId="14" fillId="0" borderId="0" xfId="0" applyFont="1" applyAlignment="1">
      <alignment horizontal="left" vertical="center"/>
    </xf>
    <xf numFmtId="0" fontId="11" fillId="0" borderId="0" xfId="0" applyFont="1" applyFill="1" applyBorder="1" applyAlignment="1">
      <alignment horizontal="center" vertical="center"/>
    </xf>
    <xf numFmtId="0" fontId="5" fillId="0" borderId="0" xfId="0" applyFont="1" applyAlignment="1">
      <alignment horizontal="right" vertical="center"/>
    </xf>
    <xf numFmtId="0" fontId="13" fillId="0" borderId="0" xfId="0" applyFont="1" applyAlignment="1">
      <alignment horizontal="center" vertical="center"/>
    </xf>
    <xf numFmtId="0" fontId="0" fillId="0" borderId="1" xfId="0" applyFill="1" applyBorder="1" applyAlignment="1">
      <alignment horizontal="left" vertical="center" wrapText="1"/>
    </xf>
    <xf numFmtId="0" fontId="0" fillId="0" borderId="1" xfId="0" applyFill="1" applyBorder="1" applyAlignment="1">
      <alignment horizontal="left" vertical="center"/>
    </xf>
    <xf numFmtId="0" fontId="0" fillId="0" borderId="3" xfId="0" applyFill="1" applyBorder="1" applyAlignment="1">
      <alignment horizontal="left" vertical="center"/>
    </xf>
    <xf numFmtId="0" fontId="0" fillId="8" borderId="4" xfId="0" applyFill="1" applyBorder="1" applyAlignment="1">
      <alignment horizontal="left" vertical="center"/>
    </xf>
    <xf numFmtId="0" fontId="0" fillId="3" borderId="1" xfId="0" applyFill="1" applyBorder="1" applyAlignment="1">
      <alignment horizontal="center" vertical="center" wrapText="1"/>
    </xf>
    <xf numFmtId="0" fontId="0" fillId="3" borderId="1" xfId="0" applyFill="1" applyBorder="1" applyAlignment="1">
      <alignment horizontal="center" vertical="center"/>
    </xf>
    <xf numFmtId="0" fontId="0" fillId="3" borderId="3" xfId="0" applyFill="1" applyBorder="1" applyAlignment="1">
      <alignment horizontal="center" vertical="center"/>
    </xf>
    <xf numFmtId="0" fontId="4" fillId="7" borderId="8" xfId="0" applyFont="1" applyFill="1" applyBorder="1" applyAlignment="1">
      <alignment horizontal="center" vertical="center"/>
    </xf>
    <xf numFmtId="0" fontId="4" fillId="7" borderId="9" xfId="0" applyFont="1" applyFill="1" applyBorder="1" applyAlignment="1">
      <alignment horizontal="center" vertical="center"/>
    </xf>
    <xf numFmtId="0" fontId="4" fillId="7" borderId="10" xfId="0" applyFont="1" applyFill="1" applyBorder="1" applyAlignment="1">
      <alignment horizontal="center" vertical="center"/>
    </xf>
    <xf numFmtId="0" fontId="0" fillId="0" borderId="1" xfId="0" applyBorder="1" applyAlignment="1">
      <alignment horizontal="left" vertical="center" wrapText="1"/>
    </xf>
    <xf numFmtId="0" fontId="0" fillId="0" borderId="1" xfId="0" applyBorder="1" applyAlignment="1">
      <alignment horizontal="left" vertical="center"/>
    </xf>
    <xf numFmtId="0" fontId="0" fillId="0" borderId="3" xfId="0" applyBorder="1" applyAlignment="1">
      <alignment horizontal="left" vertical="center"/>
    </xf>
    <xf numFmtId="0" fontId="0" fillId="8" borderId="5" xfId="0" applyFill="1" applyBorder="1" applyAlignment="1">
      <alignment horizontal="left" vertical="center"/>
    </xf>
    <xf numFmtId="0" fontId="0" fillId="8" borderId="6" xfId="0" applyFill="1" applyBorder="1" applyAlignment="1">
      <alignment horizontal="left" vertical="center"/>
    </xf>
    <xf numFmtId="0" fontId="0" fillId="8" borderId="7" xfId="0" applyFill="1" applyBorder="1" applyAlignment="1">
      <alignment horizontal="left" vertical="center"/>
    </xf>
    <xf numFmtId="0" fontId="0" fillId="2" borderId="4" xfId="0" applyFill="1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0" fillId="2" borderId="3" xfId="0" applyFill="1" applyBorder="1" applyAlignment="1">
      <alignment horizontal="center" vertical="center"/>
    </xf>
    <xf numFmtId="0" fontId="0" fillId="0" borderId="4" xfId="0" applyBorder="1" applyAlignment="1">
      <alignment horizontal="center" vertical="center" wrapText="1"/>
    </xf>
    <xf numFmtId="0" fontId="0" fillId="0" borderId="1" xfId="0" applyBorder="1" applyAlignment="1">
      <alignment horizontal="center" vertical="center" wrapText="1"/>
    </xf>
    <xf numFmtId="0" fontId="0" fillId="0" borderId="3" xfId="0" applyBorder="1" applyAlignment="1">
      <alignment horizontal="center" vertical="center" wrapText="1"/>
    </xf>
    <xf numFmtId="0" fontId="0" fillId="5" borderId="1" xfId="0" applyFill="1" applyBorder="1" applyAlignment="1">
      <alignment horizontal="center" vertical="center"/>
    </xf>
    <xf numFmtId="0" fontId="0" fillId="5" borderId="3" xfId="0" applyFill="1" applyBorder="1" applyAlignment="1">
      <alignment horizontal="center" vertical="center"/>
    </xf>
    <xf numFmtId="0" fontId="2" fillId="2" borderId="2" xfId="0" applyFont="1" applyFill="1" applyBorder="1" applyAlignment="1">
      <alignment horizontal="center" vertical="center" wrapText="1"/>
    </xf>
    <xf numFmtId="0" fontId="2" fillId="2" borderId="1" xfId="0" applyFont="1" applyFill="1" applyBorder="1" applyAlignment="1">
      <alignment horizontal="center" vertical="center" wrapText="1"/>
    </xf>
    <xf numFmtId="0" fontId="2" fillId="2" borderId="3" xfId="0" applyFont="1" applyFill="1" applyBorder="1" applyAlignment="1">
      <alignment horizontal="center" vertical="center" wrapText="1"/>
    </xf>
    <xf numFmtId="0" fontId="0" fillId="0" borderId="2" xfId="0" applyBorder="1" applyAlignment="1">
      <alignment horizontal="center" vertical="center" wrapText="1"/>
    </xf>
  </cellXfs>
  <cellStyles count="2">
    <cellStyle name="표준" xfId="0" builtinId="0"/>
    <cellStyle name="하이퍼링크" xfId="1" builtinId="8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hyperlink" Target="http://www.abc.co.kr/" TargetMode="External"/><Relationship Id="rId7" Type="http://schemas.openxmlformats.org/officeDocument/2006/relationships/printerSettings" Target="../printerSettings/printerSettings2.bin"/><Relationship Id="rId2" Type="http://schemas.openxmlformats.org/officeDocument/2006/relationships/hyperlink" Target="mailto:email@email.com" TargetMode="External"/><Relationship Id="rId1" Type="http://schemas.openxmlformats.org/officeDocument/2006/relationships/hyperlink" Target="http://www.abc.co.kr/" TargetMode="External"/><Relationship Id="rId6" Type="http://schemas.openxmlformats.org/officeDocument/2006/relationships/hyperlink" Target="mailto:email@email.com" TargetMode="External"/><Relationship Id="rId5" Type="http://schemas.openxmlformats.org/officeDocument/2006/relationships/hyperlink" Target="mailto:email@email.com" TargetMode="External"/><Relationship Id="rId4" Type="http://schemas.openxmlformats.org/officeDocument/2006/relationships/hyperlink" Target="http://www.abc.co.kr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G39"/>
  <sheetViews>
    <sheetView tabSelected="1" topLeftCell="B1" zoomScaleNormal="100" workbookViewId="0">
      <pane ySplit="10" topLeftCell="A11" activePane="bottomLeft" state="frozen"/>
      <selection pane="bottomLeft" activeCell="D17" sqref="D17"/>
    </sheetView>
  </sheetViews>
  <sheetFormatPr defaultColWidth="9" defaultRowHeight="16"/>
  <cols>
    <col min="1" max="1" width="3.25" style="17" bestFit="1" customWidth="1"/>
    <col min="2" max="2" width="19.33203125" style="17" bestFit="1" customWidth="1"/>
    <col min="3" max="3" width="16.08203125" style="17" bestFit="1" customWidth="1"/>
    <col min="4" max="4" width="62.33203125" style="17" bestFit="1" customWidth="1"/>
    <col min="5" max="5" width="41.25" style="17" bestFit="1" customWidth="1"/>
    <col min="6" max="6" width="15" style="17" bestFit="1" customWidth="1"/>
    <col min="7" max="7" width="22.33203125" style="17" customWidth="1"/>
    <col min="8" max="16384" width="9" style="17"/>
  </cols>
  <sheetData>
    <row r="1" spans="1:7" ht="25.5">
      <c r="A1" s="61" t="s">
        <v>212</v>
      </c>
      <c r="B1" s="61"/>
      <c r="C1" s="61"/>
      <c r="D1" s="61"/>
      <c r="E1" s="61"/>
      <c r="F1" s="61"/>
      <c r="G1" s="61"/>
    </row>
    <row r="2" spans="1:7" ht="3" customHeight="1"/>
    <row r="3" spans="1:7" ht="13.5" customHeight="1">
      <c r="B3" s="62" t="s">
        <v>900</v>
      </c>
      <c r="C3" s="62"/>
      <c r="D3" s="62"/>
      <c r="G3" s="53" t="s">
        <v>901</v>
      </c>
    </row>
    <row r="4" spans="1:7" ht="3" hidden="1" customHeight="1"/>
    <row r="5" spans="1:7" ht="3" hidden="1" customHeight="1"/>
    <row r="6" spans="1:7" ht="3" hidden="1" customHeight="1"/>
    <row r="7" spans="1:7" ht="3" hidden="1" customHeight="1"/>
    <row r="8" spans="1:7" ht="3" hidden="1" customHeight="1"/>
    <row r="9" spans="1:7" ht="3" hidden="1" customHeight="1">
      <c r="E9" s="17">
        <v>0</v>
      </c>
    </row>
    <row r="10" spans="1:7" s="20" customFormat="1">
      <c r="A10" s="26" t="s">
        <v>120</v>
      </c>
      <c r="B10" s="34" t="s">
        <v>904</v>
      </c>
      <c r="C10" s="26" t="s">
        <v>905</v>
      </c>
      <c r="D10" s="26" t="s">
        <v>153</v>
      </c>
      <c r="E10" s="26" t="s">
        <v>521</v>
      </c>
      <c r="F10" s="26" t="s">
        <v>154</v>
      </c>
      <c r="G10" s="26" t="s">
        <v>29</v>
      </c>
    </row>
    <row r="11" spans="1:7">
      <c r="A11" s="15">
        <v>1</v>
      </c>
      <c r="B11" s="15" t="s">
        <v>156</v>
      </c>
      <c r="C11" s="25" t="s">
        <v>345</v>
      </c>
      <c r="D11" s="25" t="s">
        <v>121</v>
      </c>
      <c r="E11" s="15" t="str">
        <f>"https://ailooker.com/app/"&amp;B11&amp;"/"</f>
        <v>https://ailooker.com/app/ApiInstall/</v>
      </c>
      <c r="F11" s="30" t="s">
        <v>213</v>
      </c>
      <c r="G11" s="27"/>
    </row>
    <row r="12" spans="1:7" s="60" customFormat="1">
      <c r="A12" s="56">
        <v>2</v>
      </c>
      <c r="B12" s="56" t="s">
        <v>908</v>
      </c>
      <c r="C12" s="57" t="s">
        <v>346</v>
      </c>
      <c r="D12" s="57" t="s">
        <v>122</v>
      </c>
      <c r="E12" s="56" t="str">
        <f t="shared" ref="E12:E39" si="0">"https://ailooker.com/app/"&amp;B12&amp;"/"</f>
        <v>https://ailooker.com/app/ApiIncomingPhnCall/</v>
      </c>
      <c r="F12" s="58" t="s">
        <v>214</v>
      </c>
      <c r="G12" s="59"/>
    </row>
    <row r="13" spans="1:7">
      <c r="A13" s="15">
        <v>3</v>
      </c>
      <c r="B13" s="15" t="s">
        <v>159</v>
      </c>
      <c r="C13" s="25" t="s">
        <v>347</v>
      </c>
      <c r="D13" s="25" t="s">
        <v>123</v>
      </c>
      <c r="E13" s="15" t="str">
        <f t="shared" si="0"/>
        <v>https://ailooker.com/app/ApiReceiveTxtMsg/</v>
      </c>
      <c r="F13" s="30" t="s">
        <v>215</v>
      </c>
      <c r="G13" s="27"/>
    </row>
    <row r="14" spans="1:7">
      <c r="A14" s="15">
        <v>4</v>
      </c>
      <c r="B14" s="15" t="s">
        <v>161</v>
      </c>
      <c r="C14" s="25" t="s">
        <v>907</v>
      </c>
      <c r="D14" s="25" t="s">
        <v>124</v>
      </c>
      <c r="E14" s="15" t="str">
        <f t="shared" si="0"/>
        <v>https://ailooker.com/app/ApiReceiveUrlMsg/</v>
      </c>
      <c r="F14" s="30" t="s">
        <v>216</v>
      </c>
      <c r="G14" s="28"/>
    </row>
    <row r="15" spans="1:7">
      <c r="A15" s="15">
        <v>5</v>
      </c>
      <c r="B15" s="15" t="s">
        <v>163</v>
      </c>
      <c r="C15" s="25" t="s">
        <v>906</v>
      </c>
      <c r="D15" s="25" t="s">
        <v>126</v>
      </c>
      <c r="E15" s="15" t="str">
        <f t="shared" si="0"/>
        <v>https://ailooker.com/app/ApiReportRegPhn/</v>
      </c>
      <c r="F15" s="30" t="s">
        <v>217</v>
      </c>
      <c r="G15" s="27"/>
    </row>
    <row r="16" spans="1:7">
      <c r="A16" s="15">
        <v>6</v>
      </c>
      <c r="B16" s="15" t="s">
        <v>167</v>
      </c>
      <c r="C16" s="25" t="s">
        <v>127</v>
      </c>
      <c r="D16" s="25" t="s">
        <v>128</v>
      </c>
      <c r="E16" s="15" t="str">
        <f t="shared" si="0"/>
        <v>https://ailooker.com/app/ApiReportRegTxtMsg/</v>
      </c>
      <c r="F16" s="30" t="s">
        <v>218</v>
      </c>
      <c r="G16" s="27"/>
    </row>
    <row r="17" spans="1:7">
      <c r="A17" s="15">
        <v>7</v>
      </c>
      <c r="B17" s="15" t="s">
        <v>169</v>
      </c>
      <c r="C17" s="25" t="s">
        <v>129</v>
      </c>
      <c r="D17" s="25" t="s">
        <v>130</v>
      </c>
      <c r="E17" s="15" t="str">
        <f t="shared" si="0"/>
        <v>https://ailooker.com/app/ApiReportRegUrlMsg/</v>
      </c>
      <c r="F17" s="30" t="s">
        <v>219</v>
      </c>
      <c r="G17" s="27"/>
    </row>
    <row r="18" spans="1:7">
      <c r="A18" s="15">
        <v>8</v>
      </c>
      <c r="B18" s="15" t="s">
        <v>164</v>
      </c>
      <c r="C18" s="25" t="s">
        <v>348</v>
      </c>
      <c r="D18" s="25" t="s">
        <v>131</v>
      </c>
      <c r="E18" s="15" t="str">
        <f t="shared" si="0"/>
        <v>https://ailooker.com/app/ApiUnblock/</v>
      </c>
      <c r="F18" s="30" t="s">
        <v>220</v>
      </c>
      <c r="G18" s="27"/>
    </row>
    <row r="19" spans="1:7">
      <c r="A19" s="15">
        <v>9</v>
      </c>
      <c r="B19" s="15" t="s">
        <v>211</v>
      </c>
      <c r="C19" s="25" t="s">
        <v>349</v>
      </c>
      <c r="D19" s="25" t="s">
        <v>132</v>
      </c>
      <c r="E19" s="15" t="str">
        <f t="shared" si="0"/>
        <v>https://ailooker.com/app/ApiSafeNumberReg/</v>
      </c>
      <c r="F19" s="30" t="s">
        <v>221</v>
      </c>
      <c r="G19" s="27"/>
    </row>
    <row r="20" spans="1:7">
      <c r="A20" s="15">
        <v>10</v>
      </c>
      <c r="B20" s="15" t="s">
        <v>171</v>
      </c>
      <c r="C20" s="25" t="s">
        <v>350</v>
      </c>
      <c r="D20" s="25" t="s">
        <v>133</v>
      </c>
      <c r="E20" s="15" t="str">
        <f t="shared" si="0"/>
        <v>https://ailooker.com/app/ApiPrecisionDiagnosis/</v>
      </c>
      <c r="F20" s="30" t="s">
        <v>222</v>
      </c>
      <c r="G20" s="27"/>
    </row>
    <row r="21" spans="1:7">
      <c r="A21" s="15">
        <v>11</v>
      </c>
      <c r="B21" s="15" t="s">
        <v>173</v>
      </c>
      <c r="C21" s="25" t="s">
        <v>351</v>
      </c>
      <c r="D21" s="25" t="s">
        <v>134</v>
      </c>
      <c r="E21" s="15" t="str">
        <f t="shared" si="0"/>
        <v>https://ailooker.com/app/ApiMainPageInq/</v>
      </c>
      <c r="F21" s="29">
        <v>101</v>
      </c>
      <c r="G21" s="27"/>
    </row>
    <row r="22" spans="1:7">
      <c r="A22" s="15">
        <v>12</v>
      </c>
      <c r="B22" s="15" t="s">
        <v>175</v>
      </c>
      <c r="C22" s="25" t="s">
        <v>352</v>
      </c>
      <c r="D22" s="25" t="s">
        <v>135</v>
      </c>
      <c r="E22" s="15" t="str">
        <f t="shared" si="0"/>
        <v>https://ailooker.com/app/ApiReportHistoryInq/</v>
      </c>
      <c r="F22" s="29">
        <v>102</v>
      </c>
      <c r="G22" s="27"/>
    </row>
    <row r="23" spans="1:7">
      <c r="A23" s="15">
        <v>13</v>
      </c>
      <c r="B23" s="15" t="s">
        <v>177</v>
      </c>
      <c r="C23" s="25" t="s">
        <v>353</v>
      </c>
      <c r="D23" s="25" t="s">
        <v>136</v>
      </c>
      <c r="E23" s="15" t="str">
        <f t="shared" si="0"/>
        <v>https://ailooker.com/app/ApiPointInq/</v>
      </c>
      <c r="F23" s="29">
        <v>103</v>
      </c>
      <c r="G23" s="27"/>
    </row>
    <row r="24" spans="1:7">
      <c r="A24" s="15">
        <v>14</v>
      </c>
      <c r="B24" s="15" t="s">
        <v>179</v>
      </c>
      <c r="C24" s="25" t="s">
        <v>354</v>
      </c>
      <c r="D24" s="25" t="s">
        <v>137</v>
      </c>
      <c r="E24" s="15" t="str">
        <f t="shared" si="0"/>
        <v>https://ailooker.com/app/ApiGeneralNoticeInq/</v>
      </c>
      <c r="F24" s="29">
        <v>104</v>
      </c>
      <c r="G24" s="27"/>
    </row>
    <row r="25" spans="1:7">
      <c r="A25" s="15">
        <v>15</v>
      </c>
      <c r="B25" s="15" t="s">
        <v>181</v>
      </c>
      <c r="C25" s="25" t="s">
        <v>355</v>
      </c>
      <c r="D25" s="25" t="s">
        <v>138</v>
      </c>
      <c r="E25" s="15" t="str">
        <f t="shared" si="0"/>
        <v>https://ailooker.com/app/ApiIndividualNoticeInq/</v>
      </c>
      <c r="F25" s="29">
        <v>105</v>
      </c>
      <c r="G25" s="27"/>
    </row>
    <row r="26" spans="1:7">
      <c r="A26" s="15">
        <v>16</v>
      </c>
      <c r="B26" s="15" t="s">
        <v>183</v>
      </c>
      <c r="C26" s="25" t="s">
        <v>356</v>
      </c>
      <c r="D26" s="25" t="s">
        <v>139</v>
      </c>
      <c r="E26" s="15" t="str">
        <f t="shared" si="0"/>
        <v>https://ailooker.com/app/ApiEventInq/</v>
      </c>
      <c r="F26" s="29">
        <v>106</v>
      </c>
      <c r="G26" s="27"/>
    </row>
    <row r="27" spans="1:7">
      <c r="A27" s="15">
        <v>17</v>
      </c>
      <c r="B27" s="15" t="s">
        <v>185</v>
      </c>
      <c r="C27" s="25" t="s">
        <v>357</v>
      </c>
      <c r="D27" s="25" t="s">
        <v>140</v>
      </c>
      <c r="E27" s="15" t="str">
        <f t="shared" si="0"/>
        <v>https://ailooker.com/app/ApiNewsInq/</v>
      </c>
      <c r="F27" s="29">
        <v>107</v>
      </c>
      <c r="G27" s="27"/>
    </row>
    <row r="28" spans="1:7">
      <c r="A28" s="15">
        <v>18</v>
      </c>
      <c r="B28" s="15" t="s">
        <v>187</v>
      </c>
      <c r="C28" s="25" t="s">
        <v>358</v>
      </c>
      <c r="D28" s="25" t="s">
        <v>141</v>
      </c>
      <c r="E28" s="15" t="str">
        <f t="shared" si="0"/>
        <v>https://ailooker.com/app/ApiQuestionInq/</v>
      </c>
      <c r="F28" s="29">
        <v>108</v>
      </c>
      <c r="G28" s="27"/>
    </row>
    <row r="29" spans="1:7">
      <c r="A29" s="15">
        <v>19</v>
      </c>
      <c r="B29" s="15" t="s">
        <v>189</v>
      </c>
      <c r="C29" s="25" t="s">
        <v>359</v>
      </c>
      <c r="D29" s="25" t="s">
        <v>142</v>
      </c>
      <c r="E29" s="15" t="str">
        <f t="shared" si="0"/>
        <v>https://ailooker.com/app/ApiFAQInq/</v>
      </c>
      <c r="F29" s="29">
        <v>109</v>
      </c>
      <c r="G29" s="27"/>
    </row>
    <row r="30" spans="1:7">
      <c r="A30" s="15">
        <v>20</v>
      </c>
      <c r="B30" s="15" t="s">
        <v>191</v>
      </c>
      <c r="C30" s="25" t="s">
        <v>360</v>
      </c>
      <c r="D30" s="25" t="s">
        <v>143</v>
      </c>
      <c r="E30" s="15" t="str">
        <f t="shared" si="0"/>
        <v>https://ailooker.com/app/ApiGeneralNoticeDtl/</v>
      </c>
      <c r="F30" s="29">
        <v>110</v>
      </c>
      <c r="G30" s="27"/>
    </row>
    <row r="31" spans="1:7">
      <c r="A31" s="15">
        <v>21</v>
      </c>
      <c r="B31" s="15" t="s">
        <v>193</v>
      </c>
      <c r="C31" s="25" t="s">
        <v>361</v>
      </c>
      <c r="D31" s="25" t="s">
        <v>144</v>
      </c>
      <c r="E31" s="15" t="str">
        <f t="shared" si="0"/>
        <v>https://ailooker.com/app/ApiIndividualNoticeDtl/</v>
      </c>
      <c r="F31" s="29">
        <v>111</v>
      </c>
      <c r="G31" s="27"/>
    </row>
    <row r="32" spans="1:7">
      <c r="A32" s="15">
        <v>22</v>
      </c>
      <c r="B32" s="15" t="s">
        <v>195</v>
      </c>
      <c r="C32" s="25" t="s">
        <v>362</v>
      </c>
      <c r="D32" s="25" t="s">
        <v>145</v>
      </c>
      <c r="E32" s="15" t="str">
        <f t="shared" si="0"/>
        <v>https://ailooker.com/app/ApiEventDtl/</v>
      </c>
      <c r="F32" s="29">
        <v>112</v>
      </c>
      <c r="G32" s="27"/>
    </row>
    <row r="33" spans="1:7">
      <c r="A33" s="15">
        <v>23</v>
      </c>
      <c r="B33" s="15" t="s">
        <v>197</v>
      </c>
      <c r="C33" s="25" t="s">
        <v>363</v>
      </c>
      <c r="D33" s="25" t="s">
        <v>146</v>
      </c>
      <c r="E33" s="15" t="str">
        <f t="shared" si="0"/>
        <v>https://ailooker.com/app/ApiNewsDtl/</v>
      </c>
      <c r="F33" s="29">
        <v>113</v>
      </c>
      <c r="G33" s="27"/>
    </row>
    <row r="34" spans="1:7">
      <c r="A34" s="15">
        <v>24</v>
      </c>
      <c r="B34" s="15" t="s">
        <v>199</v>
      </c>
      <c r="C34" s="25" t="s">
        <v>364</v>
      </c>
      <c r="D34" s="25" t="s">
        <v>147</v>
      </c>
      <c r="E34" s="15" t="str">
        <f t="shared" si="0"/>
        <v>https://ailooker.com/app/ApiQuestionDtl/</v>
      </c>
      <c r="F34" s="29">
        <v>114</v>
      </c>
      <c r="G34" s="27"/>
    </row>
    <row r="35" spans="1:7">
      <c r="A35" s="15">
        <v>25</v>
      </c>
      <c r="B35" s="15" t="s">
        <v>201</v>
      </c>
      <c r="C35" s="25" t="s">
        <v>365</v>
      </c>
      <c r="D35" s="25" t="s">
        <v>148</v>
      </c>
      <c r="E35" s="15" t="str">
        <f t="shared" si="0"/>
        <v>https://ailooker.com/app/ApiFAQDtl/</v>
      </c>
      <c r="F35" s="29">
        <v>115</v>
      </c>
      <c r="G35" s="27"/>
    </row>
    <row r="36" spans="1:7">
      <c r="A36" s="15">
        <v>26</v>
      </c>
      <c r="B36" s="15" t="s">
        <v>203</v>
      </c>
      <c r="C36" s="25" t="s">
        <v>366</v>
      </c>
      <c r="D36" s="25" t="s">
        <v>149</v>
      </c>
      <c r="E36" s="15" t="str">
        <f t="shared" si="0"/>
        <v>https://ailooker.com/app/ApiAdvertCheck/</v>
      </c>
      <c r="F36" s="29">
        <v>116</v>
      </c>
      <c r="G36" s="27"/>
    </row>
    <row r="37" spans="1:7">
      <c r="A37" s="15">
        <v>27</v>
      </c>
      <c r="B37" s="15" t="s">
        <v>205</v>
      </c>
      <c r="C37" s="25" t="s">
        <v>367</v>
      </c>
      <c r="D37" s="25" t="s">
        <v>150</v>
      </c>
      <c r="E37" s="15" t="str">
        <f t="shared" si="0"/>
        <v>https://ailooker.com/app/ApiQuestionReg/</v>
      </c>
      <c r="F37" s="29">
        <v>117</v>
      </c>
      <c r="G37" s="27"/>
    </row>
    <row r="38" spans="1:7">
      <c r="A38" s="15">
        <v>28</v>
      </c>
      <c r="B38" s="15" t="s">
        <v>207</v>
      </c>
      <c r="C38" s="25" t="s">
        <v>368</v>
      </c>
      <c r="D38" s="25" t="s">
        <v>151</v>
      </c>
      <c r="E38" s="15" t="str">
        <f t="shared" si="0"/>
        <v>https://ailooker.com/app/ApiQuestionChg/</v>
      </c>
      <c r="F38" s="29">
        <v>118</v>
      </c>
      <c r="G38" s="28"/>
    </row>
    <row r="39" spans="1:7">
      <c r="A39" s="15">
        <v>29</v>
      </c>
      <c r="B39" s="15" t="s">
        <v>209</v>
      </c>
      <c r="C39" s="25" t="s">
        <v>369</v>
      </c>
      <c r="D39" s="25" t="s">
        <v>152</v>
      </c>
      <c r="E39" s="15" t="str">
        <f t="shared" si="0"/>
        <v>https://ailooker.com/app/ApiQuestionDel/</v>
      </c>
      <c r="F39" s="29">
        <v>119</v>
      </c>
      <c r="G39" s="28"/>
    </row>
  </sheetData>
  <autoFilter ref="A10:G10"/>
  <mergeCells count="2">
    <mergeCell ref="A1:G1"/>
    <mergeCell ref="B3:D3"/>
  </mergeCells>
  <phoneticPr fontId="3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filterMode="1"/>
  <dimension ref="A1:O391"/>
  <sheetViews>
    <sheetView zoomScaleNormal="100" workbookViewId="0">
      <pane ySplit="10" topLeftCell="A11" activePane="bottomLeft" state="frozen"/>
      <selection pane="bottomLeft" activeCell="F20" sqref="F20"/>
    </sheetView>
  </sheetViews>
  <sheetFormatPr defaultColWidth="9" defaultRowHeight="16"/>
  <cols>
    <col min="1" max="1" width="6.5" style="17" bestFit="1" customWidth="1"/>
    <col min="2" max="2" width="19.33203125" style="17" bestFit="1" customWidth="1"/>
    <col min="3" max="3" width="16.33203125" style="17" bestFit="1" customWidth="1"/>
    <col min="4" max="4" width="8.75" style="20" bestFit="1" customWidth="1"/>
    <col min="5" max="5" width="8.75" style="17" bestFit="1" customWidth="1"/>
    <col min="6" max="6" width="16.75" style="17" bestFit="1" customWidth="1"/>
    <col min="7" max="7" width="13.08203125" style="17" bestFit="1" customWidth="1"/>
    <col min="8" max="8" width="8.75" style="20" bestFit="1" customWidth="1"/>
    <col min="9" max="10" width="12" style="20" bestFit="1" customWidth="1"/>
    <col min="11" max="11" width="10.33203125" style="20" bestFit="1" customWidth="1"/>
    <col min="12" max="12" width="13.08203125" style="17" bestFit="1" customWidth="1"/>
    <col min="13" max="13" width="27.25" style="17" bestFit="1" customWidth="1"/>
    <col min="14" max="14" width="35.08203125" style="17" customWidth="1"/>
    <col min="15" max="15" width="19.75" style="17" bestFit="1" customWidth="1"/>
    <col min="16" max="16384" width="9" style="17"/>
  </cols>
  <sheetData>
    <row r="1" spans="1:15" ht="17.5">
      <c r="A1" s="63" t="s">
        <v>448</v>
      </c>
      <c r="B1" s="63"/>
      <c r="C1" s="63"/>
      <c r="D1" s="63"/>
      <c r="E1" s="63"/>
      <c r="F1" s="63"/>
      <c r="G1" s="63"/>
      <c r="H1" s="63"/>
      <c r="I1" s="63"/>
      <c r="J1" s="63"/>
      <c r="K1" s="63"/>
      <c r="L1" s="63"/>
      <c r="M1" s="63"/>
    </row>
    <row r="2" spans="1:15" ht="3.75" customHeight="1">
      <c r="A2" s="38"/>
      <c r="B2" s="38"/>
      <c r="C2" s="38"/>
      <c r="D2" s="38"/>
      <c r="E2" s="38"/>
      <c r="F2" s="38"/>
      <c r="G2" s="38"/>
      <c r="H2" s="38"/>
      <c r="I2" s="38"/>
      <c r="J2" s="38"/>
      <c r="K2" s="38"/>
      <c r="L2" s="38"/>
      <c r="M2" s="38"/>
    </row>
    <row r="3" spans="1:15">
      <c r="A3" s="54"/>
      <c r="B3" s="54"/>
      <c r="C3" s="54"/>
      <c r="D3" s="54"/>
      <c r="E3" s="54"/>
      <c r="F3" s="54"/>
      <c r="H3" s="64" t="s">
        <v>903</v>
      </c>
      <c r="I3" s="64"/>
      <c r="J3" s="64"/>
      <c r="L3" s="62" t="s">
        <v>902</v>
      </c>
      <c r="M3" s="62"/>
    </row>
    <row r="4" spans="1:15" hidden="1">
      <c r="B4" s="43"/>
      <c r="C4" s="43"/>
      <c r="D4" s="43"/>
      <c r="E4" s="43"/>
      <c r="F4" s="43"/>
      <c r="L4" s="50"/>
    </row>
    <row r="5" spans="1:15" hidden="1">
      <c r="B5" s="43"/>
      <c r="C5" s="43"/>
      <c r="D5" s="43"/>
      <c r="E5" s="43"/>
      <c r="F5" s="43"/>
      <c r="L5" s="50"/>
    </row>
    <row r="6" spans="1:15" hidden="1">
      <c r="D6" s="17"/>
      <c r="L6" s="50"/>
    </row>
    <row r="7" spans="1:15" hidden="1">
      <c r="D7" s="17"/>
      <c r="L7" s="50"/>
    </row>
    <row r="8" spans="1:15" hidden="1">
      <c r="D8" s="17"/>
      <c r="L8" s="50"/>
    </row>
    <row r="9" spans="1:15" hidden="1">
      <c r="D9" s="17"/>
      <c r="L9" s="50"/>
      <c r="M9" s="17">
        <v>0</v>
      </c>
      <c r="N9" s="17">
        <v>0</v>
      </c>
    </row>
    <row r="10" spans="1:15" s="23" customFormat="1">
      <c r="A10" s="26" t="s">
        <v>120</v>
      </c>
      <c r="B10" s="26" t="s">
        <v>904</v>
      </c>
      <c r="C10" s="26" t="s">
        <v>905</v>
      </c>
      <c r="D10" s="26" t="s">
        <v>276</v>
      </c>
      <c r="E10" s="26" t="s">
        <v>21</v>
      </c>
      <c r="F10" s="26" t="s">
        <v>22</v>
      </c>
      <c r="G10" s="26" t="s">
        <v>84</v>
      </c>
      <c r="H10" s="26" t="s">
        <v>24</v>
      </c>
      <c r="I10" s="26" t="s">
        <v>25</v>
      </c>
      <c r="J10" s="26" t="s">
        <v>26</v>
      </c>
      <c r="K10" s="26" t="s">
        <v>439</v>
      </c>
      <c r="L10" s="34" t="s">
        <v>223</v>
      </c>
      <c r="M10" s="26" t="s">
        <v>96</v>
      </c>
      <c r="N10" s="42" t="s">
        <v>519</v>
      </c>
      <c r="O10" s="44" t="s">
        <v>520</v>
      </c>
    </row>
    <row r="11" spans="1:15" hidden="1">
      <c r="A11" s="15">
        <v>1</v>
      </c>
      <c r="B11" s="15" t="s">
        <v>155</v>
      </c>
      <c r="C11" s="33" t="str">
        <f>VLOOKUP($B11,API목록!$B$11:$C$39,2,0)</f>
        <v>최초앱설치</v>
      </c>
      <c r="D11" s="18">
        <v>1</v>
      </c>
      <c r="E11" s="31" t="s">
        <v>437</v>
      </c>
      <c r="F11" s="40" t="s">
        <v>98</v>
      </c>
      <c r="G11" s="40" t="s">
        <v>323</v>
      </c>
      <c r="H11" s="18" t="s">
        <v>1</v>
      </c>
      <c r="I11" s="18">
        <v>3</v>
      </c>
      <c r="J11" s="22" t="s">
        <v>95</v>
      </c>
      <c r="K11" s="22"/>
      <c r="L11" s="40" t="s">
        <v>323</v>
      </c>
      <c r="M11" s="24" t="s">
        <v>322</v>
      </c>
      <c r="N11" s="15" t="str">
        <f>IF(D11=1,"{"&amp;""""&amp;B11&amp;""""&amp;":["&amp;CHAR(10)&amp;"   {"&amp;""""&amp;G11&amp;""""&amp;" : "&amp;O11,"   ,"&amp;""""&amp;G11&amp;""""&amp;" : "&amp;O11)&amp;IF(D12=1,"   }"&amp;CHAR(10)&amp;"]}","")</f>
        <v>{"ApiInstall":[
   {"UseLangCd" : "KOR"</v>
      </c>
      <c r="O11" s="24" t="s">
        <v>450</v>
      </c>
    </row>
    <row r="12" spans="1:15" hidden="1">
      <c r="A12" s="15">
        <v>2</v>
      </c>
      <c r="B12" s="15" t="s">
        <v>155</v>
      </c>
      <c r="C12" s="33" t="str">
        <f>VLOOKUP($B12,API목록!$B$11:$C$39,2,0)</f>
        <v>최초앱설치</v>
      </c>
      <c r="D12" s="18">
        <v>2</v>
      </c>
      <c r="E12" s="31" t="s">
        <v>437</v>
      </c>
      <c r="F12" s="40" t="s">
        <v>226</v>
      </c>
      <c r="G12" s="40" t="s">
        <v>373</v>
      </c>
      <c r="H12" s="18" t="s">
        <v>374</v>
      </c>
      <c r="I12" s="18">
        <v>20</v>
      </c>
      <c r="J12" s="22" t="s">
        <v>95</v>
      </c>
      <c r="K12" s="22"/>
      <c r="L12" s="39"/>
      <c r="M12" s="24"/>
      <c r="N12" s="15" t="str">
        <f t="shared" ref="N12:N75" si="0">IF(D12=1,"{"&amp;""""&amp;B12&amp;""""&amp;":["&amp;CHAR(10)&amp;"   {"&amp;""""&amp;G12&amp;""""&amp;" : "&amp;O12,"   ,"&amp;""""&amp;G12&amp;""""&amp;" : "&amp;O12)&amp;IF(D13=1,"   }"&amp;CHAR(10)&amp;"]}","")</f>
        <v xml:space="preserve">   ,"UserPhnNo" : "01012345678"</v>
      </c>
      <c r="O12" s="24" t="s">
        <v>456</v>
      </c>
    </row>
    <row r="13" spans="1:15" hidden="1">
      <c r="A13" s="15">
        <v>3</v>
      </c>
      <c r="B13" s="15" t="s">
        <v>155</v>
      </c>
      <c r="C13" s="33" t="str">
        <f>VLOOKUP($B13,API목록!$B$11:$C$39,2,0)</f>
        <v>최초앱설치</v>
      </c>
      <c r="D13" s="18">
        <v>3</v>
      </c>
      <c r="E13" s="31" t="s">
        <v>437</v>
      </c>
      <c r="F13" s="40" t="s">
        <v>227</v>
      </c>
      <c r="G13" s="40" t="s">
        <v>375</v>
      </c>
      <c r="H13" s="18" t="s">
        <v>374</v>
      </c>
      <c r="I13" s="18">
        <v>100</v>
      </c>
      <c r="J13" s="22" t="s">
        <v>225</v>
      </c>
      <c r="K13" s="22"/>
      <c r="L13" s="39"/>
      <c r="M13" s="24"/>
      <c r="N13" s="15" t="str">
        <f t="shared" si="0"/>
        <v xml:space="preserve">   ,"UserNm" : "홍길동"</v>
      </c>
      <c r="O13" s="24" t="s">
        <v>459</v>
      </c>
    </row>
    <row r="14" spans="1:15" hidden="1">
      <c r="A14" s="15">
        <v>4</v>
      </c>
      <c r="B14" s="15" t="s">
        <v>155</v>
      </c>
      <c r="C14" s="33" t="str">
        <f>VLOOKUP($B14,API목록!$B$11:$C$39,2,0)</f>
        <v>최초앱설치</v>
      </c>
      <c r="D14" s="18">
        <v>4</v>
      </c>
      <c r="E14" s="31" t="s">
        <v>437</v>
      </c>
      <c r="F14" s="40" t="s">
        <v>228</v>
      </c>
      <c r="G14" s="40" t="s">
        <v>376</v>
      </c>
      <c r="H14" s="18" t="s">
        <v>374</v>
      </c>
      <c r="I14" s="18">
        <v>20</v>
      </c>
      <c r="J14" s="22" t="s">
        <v>225</v>
      </c>
      <c r="K14" s="22"/>
      <c r="L14" s="39"/>
      <c r="M14" s="24"/>
      <c r="N14" s="15" t="str">
        <f t="shared" si="0"/>
        <v xml:space="preserve">   ,"RecPhnNo" : "01056789012"</v>
      </c>
      <c r="O14" s="24" t="s">
        <v>457</v>
      </c>
    </row>
    <row r="15" spans="1:15" hidden="1">
      <c r="A15" s="15">
        <v>5</v>
      </c>
      <c r="B15" s="15" t="s">
        <v>155</v>
      </c>
      <c r="C15" s="33" t="str">
        <f>VLOOKUP($B15,API목록!$B$11:$C$39,2,0)</f>
        <v>최초앱설치</v>
      </c>
      <c r="D15" s="18">
        <v>5</v>
      </c>
      <c r="E15" s="32" t="s">
        <v>224</v>
      </c>
      <c r="F15" s="40" t="s">
        <v>88</v>
      </c>
      <c r="G15" s="40" t="s">
        <v>303</v>
      </c>
      <c r="H15" s="18" t="s">
        <v>374</v>
      </c>
      <c r="I15" s="18">
        <v>7</v>
      </c>
      <c r="J15" s="22" t="s">
        <v>371</v>
      </c>
      <c r="K15" s="22"/>
      <c r="L15" s="40" t="s">
        <v>303</v>
      </c>
      <c r="M15" s="24"/>
      <c r="N15" s="15" t="str">
        <f t="shared" si="0"/>
        <v xml:space="preserve">   ,"ProcRsltCd" : "001-000"</v>
      </c>
      <c r="O15" s="24" t="s">
        <v>482</v>
      </c>
    </row>
    <row r="16" spans="1:15" hidden="1">
      <c r="A16" s="15">
        <v>6</v>
      </c>
      <c r="B16" s="15" t="s">
        <v>155</v>
      </c>
      <c r="C16" s="33" t="str">
        <f>VLOOKUP($B16,API목록!$B$11:$C$39,2,0)</f>
        <v>최초앱설치</v>
      </c>
      <c r="D16" s="18">
        <v>6</v>
      </c>
      <c r="E16" s="32" t="s">
        <v>224</v>
      </c>
      <c r="F16" s="40" t="s">
        <v>431</v>
      </c>
      <c r="G16" s="40" t="s">
        <v>430</v>
      </c>
      <c r="H16" s="18" t="s">
        <v>1</v>
      </c>
      <c r="I16" s="18">
        <v>1</v>
      </c>
      <c r="J16" s="22" t="s">
        <v>95</v>
      </c>
      <c r="K16" s="22"/>
      <c r="L16" s="39"/>
      <c r="M16" s="24" t="s">
        <v>434</v>
      </c>
      <c r="N16" s="15" t="str">
        <f t="shared" si="0"/>
        <v xml:space="preserve">   ,"RsltMsgPopupYN" : "Y"</v>
      </c>
      <c r="O16" s="24" t="s">
        <v>453</v>
      </c>
    </row>
    <row r="17" spans="1:15" hidden="1">
      <c r="A17" s="15">
        <v>7</v>
      </c>
      <c r="B17" s="15" t="s">
        <v>155</v>
      </c>
      <c r="C17" s="33" t="str">
        <f>VLOOKUP($B17,API목록!$B$11:$C$39,2,0)</f>
        <v>최초앱설치</v>
      </c>
      <c r="D17" s="18">
        <v>7</v>
      </c>
      <c r="E17" s="32" t="s">
        <v>224</v>
      </c>
      <c r="F17" s="40" t="s">
        <v>427</v>
      </c>
      <c r="G17" s="40" t="s">
        <v>428</v>
      </c>
      <c r="H17" s="18" t="s">
        <v>374</v>
      </c>
      <c r="I17" s="18">
        <v>300</v>
      </c>
      <c r="J17" s="22" t="s">
        <v>225</v>
      </c>
      <c r="K17" s="22"/>
      <c r="L17" s="39"/>
      <c r="M17" s="24"/>
      <c r="N17" s="15" t="str">
        <f t="shared" si="0"/>
        <v xml:space="preserve">   ,"RsltMsg" : "결과메시지"   }
]}</v>
      </c>
      <c r="O17" s="24" t="s">
        <v>460</v>
      </c>
    </row>
    <row r="18" spans="1:15">
      <c r="A18" s="15">
        <v>8</v>
      </c>
      <c r="B18" s="15" t="s">
        <v>165</v>
      </c>
      <c r="C18" s="33" t="str">
        <f>VLOOKUP($B18,API목록!$B$11:$C$39,2,0)</f>
        <v>전화수신</v>
      </c>
      <c r="D18" s="18">
        <v>1</v>
      </c>
      <c r="E18" s="31" t="s">
        <v>437</v>
      </c>
      <c r="F18" s="40" t="s">
        <v>98</v>
      </c>
      <c r="G18" s="40" t="s">
        <v>323</v>
      </c>
      <c r="H18" s="18" t="s">
        <v>1</v>
      </c>
      <c r="I18" s="18">
        <v>3</v>
      </c>
      <c r="J18" s="22" t="s">
        <v>95</v>
      </c>
      <c r="K18" s="22"/>
      <c r="L18" s="40" t="s">
        <v>323</v>
      </c>
      <c r="M18" s="24" t="s">
        <v>322</v>
      </c>
      <c r="N18" s="15" t="str">
        <f t="shared" si="0"/>
        <v>{"ApiIncomingPhnCall":[
   {"UseLangCd" : "KOR"</v>
      </c>
      <c r="O18" s="24" t="s">
        <v>450</v>
      </c>
    </row>
    <row r="19" spans="1:15">
      <c r="A19" s="15">
        <v>9</v>
      </c>
      <c r="B19" s="15" t="s">
        <v>165</v>
      </c>
      <c r="C19" s="33" t="str">
        <f>VLOOKUP($B19,API목록!$B$11:$C$39,2,0)</f>
        <v>전화수신</v>
      </c>
      <c r="D19" s="18">
        <v>2</v>
      </c>
      <c r="E19" s="31" t="s">
        <v>437</v>
      </c>
      <c r="F19" s="40" t="s">
        <v>85</v>
      </c>
      <c r="G19" s="40" t="s">
        <v>373</v>
      </c>
      <c r="H19" s="18" t="s">
        <v>374</v>
      </c>
      <c r="I19" s="18">
        <v>20</v>
      </c>
      <c r="J19" s="22" t="s">
        <v>95</v>
      </c>
      <c r="K19" s="22"/>
      <c r="L19" s="40"/>
      <c r="M19" s="40"/>
      <c r="N19" s="15" t="str">
        <f t="shared" si="0"/>
        <v xml:space="preserve">   ,"UserPhnNo" : "01012345678"</v>
      </c>
      <c r="O19" s="24" t="s">
        <v>456</v>
      </c>
    </row>
    <row r="20" spans="1:15">
      <c r="A20" s="15">
        <v>10</v>
      </c>
      <c r="B20" s="15" t="s">
        <v>165</v>
      </c>
      <c r="C20" s="33" t="str">
        <f>VLOOKUP($B20,API목록!$B$11:$C$39,2,0)</f>
        <v>전화수신</v>
      </c>
      <c r="D20" s="18">
        <v>3</v>
      </c>
      <c r="E20" s="31" t="s">
        <v>437</v>
      </c>
      <c r="F20" s="40" t="s">
        <v>86</v>
      </c>
      <c r="G20" s="40" t="s">
        <v>378</v>
      </c>
      <c r="H20" s="18" t="s">
        <v>374</v>
      </c>
      <c r="I20" s="18">
        <v>20</v>
      </c>
      <c r="J20" s="22" t="s">
        <v>95</v>
      </c>
      <c r="K20" s="22"/>
      <c r="L20" s="40"/>
      <c r="M20" s="40"/>
      <c r="N20" s="15" t="str">
        <f t="shared" si="0"/>
        <v xml:space="preserve">   ,"PhnNo" : "01098765432"</v>
      </c>
      <c r="O20" s="40" t="s">
        <v>458</v>
      </c>
    </row>
    <row r="21" spans="1:15">
      <c r="A21" s="15">
        <v>11</v>
      </c>
      <c r="B21" s="15" t="s">
        <v>165</v>
      </c>
      <c r="C21" s="33" t="str">
        <f>VLOOKUP($B21,API목록!$B$11:$C$39,2,0)</f>
        <v>전화수신</v>
      </c>
      <c r="D21" s="18">
        <v>4</v>
      </c>
      <c r="E21" s="31" t="s">
        <v>437</v>
      </c>
      <c r="F21" s="40" t="s">
        <v>87</v>
      </c>
      <c r="G21" s="40" t="s">
        <v>293</v>
      </c>
      <c r="H21" s="18" t="s">
        <v>374</v>
      </c>
      <c r="I21" s="18">
        <v>3</v>
      </c>
      <c r="J21" s="22" t="s">
        <v>95</v>
      </c>
      <c r="K21" s="22"/>
      <c r="L21" s="40" t="s">
        <v>92</v>
      </c>
      <c r="M21" s="24" t="s">
        <v>111</v>
      </c>
      <c r="N21" s="15" t="str">
        <f t="shared" si="0"/>
        <v xml:space="preserve">   ,"MedPartCd" : "001"</v>
      </c>
      <c r="O21" s="24" t="s">
        <v>451</v>
      </c>
    </row>
    <row r="22" spans="1:15">
      <c r="A22" s="15">
        <v>12</v>
      </c>
      <c r="B22" s="15" t="s">
        <v>165</v>
      </c>
      <c r="C22" s="33" t="str">
        <f>VLOOKUP($B22,API목록!$B$11:$C$39,2,0)</f>
        <v>전화수신</v>
      </c>
      <c r="D22" s="18">
        <v>5</v>
      </c>
      <c r="E22" s="32" t="s">
        <v>224</v>
      </c>
      <c r="F22" s="40" t="s">
        <v>370</v>
      </c>
      <c r="G22" s="40" t="s">
        <v>303</v>
      </c>
      <c r="H22" s="18" t="s">
        <v>374</v>
      </c>
      <c r="I22" s="18">
        <v>7</v>
      </c>
      <c r="J22" s="22" t="s">
        <v>371</v>
      </c>
      <c r="K22" s="22"/>
      <c r="L22" s="16" t="s">
        <v>93</v>
      </c>
      <c r="M22" s="40"/>
      <c r="N22" s="15" t="str">
        <f t="shared" si="0"/>
        <v xml:space="preserve">   ,"ProcRsltCd" : "002-000"</v>
      </c>
      <c r="O22" s="24" t="s">
        <v>483</v>
      </c>
    </row>
    <row r="23" spans="1:15">
      <c r="A23" s="15">
        <v>13</v>
      </c>
      <c r="B23" s="15" t="s">
        <v>165</v>
      </c>
      <c r="C23" s="33" t="str">
        <f>VLOOKUP($B23,API목록!$B$11:$C$39,2,0)</f>
        <v>전화수신</v>
      </c>
      <c r="D23" s="18">
        <v>6</v>
      </c>
      <c r="E23" s="32" t="s">
        <v>224</v>
      </c>
      <c r="F23" s="40" t="s">
        <v>431</v>
      </c>
      <c r="G23" s="40" t="s">
        <v>430</v>
      </c>
      <c r="H23" s="18" t="s">
        <v>1</v>
      </c>
      <c r="I23" s="18">
        <v>1</v>
      </c>
      <c r="J23" s="22" t="s">
        <v>95</v>
      </c>
      <c r="K23" s="22"/>
      <c r="L23" s="19"/>
      <c r="M23" s="24" t="s">
        <v>434</v>
      </c>
      <c r="N23" s="15" t="str">
        <f t="shared" si="0"/>
        <v xml:space="preserve">   ,"RsltMsgPopupYN" : "Y"</v>
      </c>
      <c r="O23" s="24" t="s">
        <v>453</v>
      </c>
    </row>
    <row r="24" spans="1:15">
      <c r="A24" s="15">
        <v>14</v>
      </c>
      <c r="B24" s="15" t="s">
        <v>165</v>
      </c>
      <c r="C24" s="33" t="str">
        <f>VLOOKUP($B24,API목록!$B$11:$C$39,2,0)</f>
        <v>전화수신</v>
      </c>
      <c r="D24" s="18">
        <v>7</v>
      </c>
      <c r="E24" s="32" t="s">
        <v>224</v>
      </c>
      <c r="F24" s="40" t="s">
        <v>427</v>
      </c>
      <c r="G24" s="40" t="s">
        <v>428</v>
      </c>
      <c r="H24" s="18" t="s">
        <v>374</v>
      </c>
      <c r="I24" s="18">
        <v>300</v>
      </c>
      <c r="J24" s="22" t="s">
        <v>225</v>
      </c>
      <c r="K24" s="22"/>
      <c r="L24" s="40"/>
      <c r="M24" s="40"/>
      <c r="N24" s="15" t="str">
        <f t="shared" si="0"/>
        <v xml:space="preserve">   ,"RsltMsg" : "결과메시지"</v>
      </c>
      <c r="O24" s="24" t="s">
        <v>460</v>
      </c>
    </row>
    <row r="25" spans="1:15">
      <c r="A25" s="15">
        <v>15</v>
      </c>
      <c r="B25" s="15" t="s">
        <v>165</v>
      </c>
      <c r="C25" s="33" t="str">
        <f>VLOOKUP($B25,API목록!$B$11:$C$39,2,0)</f>
        <v>전화수신</v>
      </c>
      <c r="D25" s="18">
        <v>8</v>
      </c>
      <c r="E25" s="32" t="s">
        <v>224</v>
      </c>
      <c r="F25" s="40" t="s">
        <v>89</v>
      </c>
      <c r="G25" s="40" t="s">
        <v>94</v>
      </c>
      <c r="H25" s="18" t="s">
        <v>1</v>
      </c>
      <c r="I25" s="18">
        <v>100</v>
      </c>
      <c r="J25" s="22" t="s">
        <v>225</v>
      </c>
      <c r="K25" s="22"/>
      <c r="L25" s="19"/>
      <c r="M25" s="40"/>
      <c r="N25" s="15" t="str">
        <f t="shared" si="0"/>
        <v xml:space="preserve">   ,"TopTpClsNm" : "주식/투자"</v>
      </c>
      <c r="O25" s="40" t="s">
        <v>476</v>
      </c>
    </row>
    <row r="26" spans="1:15">
      <c r="A26" s="15">
        <v>16</v>
      </c>
      <c r="B26" s="15" t="s">
        <v>165</v>
      </c>
      <c r="C26" s="33" t="str">
        <f>VLOOKUP($B26,API목록!$B$11:$C$39,2,0)</f>
        <v>전화수신</v>
      </c>
      <c r="D26" s="18">
        <v>9</v>
      </c>
      <c r="E26" s="32" t="s">
        <v>224</v>
      </c>
      <c r="F26" s="40" t="s">
        <v>432</v>
      </c>
      <c r="G26" s="40" t="s">
        <v>379</v>
      </c>
      <c r="H26" s="18" t="s">
        <v>374</v>
      </c>
      <c r="I26" s="18">
        <v>1</v>
      </c>
      <c r="J26" s="22" t="s">
        <v>95</v>
      </c>
      <c r="K26" s="22"/>
      <c r="L26" s="19"/>
      <c r="M26" s="24" t="s">
        <v>434</v>
      </c>
      <c r="N26" s="15" t="str">
        <f t="shared" si="0"/>
        <v xml:space="preserve">   ,"WhtListYN" : "Y"</v>
      </c>
      <c r="O26" s="24" t="s">
        <v>453</v>
      </c>
    </row>
    <row r="27" spans="1:15">
      <c r="A27" s="15">
        <v>17</v>
      </c>
      <c r="B27" s="15" t="s">
        <v>165</v>
      </c>
      <c r="C27" s="33" t="str">
        <f>VLOOKUP($B27,API목록!$B$11:$C$39,2,0)</f>
        <v>전화수신</v>
      </c>
      <c r="D27" s="18">
        <v>10</v>
      </c>
      <c r="E27" s="32" t="s">
        <v>224</v>
      </c>
      <c r="F27" s="40" t="s">
        <v>91</v>
      </c>
      <c r="G27" s="40" t="s">
        <v>380</v>
      </c>
      <c r="H27" s="18" t="s">
        <v>374</v>
      </c>
      <c r="I27" s="18">
        <v>100</v>
      </c>
      <c r="J27" s="22" t="s">
        <v>225</v>
      </c>
      <c r="K27" s="22"/>
      <c r="L27" s="19"/>
      <c r="M27" s="40"/>
      <c r="N27" s="15" t="str">
        <f t="shared" si="0"/>
        <v xml:space="preserve">   ,"OrgNm" : "국민은행"</v>
      </c>
      <c r="O27" s="40" t="s">
        <v>462</v>
      </c>
    </row>
    <row r="28" spans="1:15">
      <c r="A28" s="15">
        <v>18</v>
      </c>
      <c r="B28" s="15" t="s">
        <v>165</v>
      </c>
      <c r="C28" s="33" t="str">
        <f>VLOOKUP($B28,API목록!$B$11:$C$39,2,0)</f>
        <v>전화수신</v>
      </c>
      <c r="D28" s="18">
        <v>11</v>
      </c>
      <c r="E28" s="32" t="s">
        <v>224</v>
      </c>
      <c r="F28" s="37" t="s">
        <v>311</v>
      </c>
      <c r="G28" s="40" t="s">
        <v>382</v>
      </c>
      <c r="H28" s="18" t="s">
        <v>381</v>
      </c>
      <c r="I28" s="18">
        <v>9</v>
      </c>
      <c r="J28" s="22" t="s">
        <v>95</v>
      </c>
      <c r="K28" s="22"/>
      <c r="L28" s="19"/>
      <c r="M28" s="40"/>
      <c r="N28" s="15" t="str">
        <f t="shared" si="0"/>
        <v xml:space="preserve">   ,"GoodTotCnt" : 999</v>
      </c>
      <c r="O28" s="40">
        <v>999</v>
      </c>
    </row>
    <row r="29" spans="1:15">
      <c r="A29" s="15">
        <v>19</v>
      </c>
      <c r="B29" s="15" t="s">
        <v>165</v>
      </c>
      <c r="C29" s="33" t="str">
        <f>VLOOKUP($B29,API목록!$B$11:$C$39,2,0)</f>
        <v>전화수신</v>
      </c>
      <c r="D29" s="18">
        <v>12</v>
      </c>
      <c r="E29" s="32" t="s">
        <v>224</v>
      </c>
      <c r="F29" s="21" t="s">
        <v>312</v>
      </c>
      <c r="G29" s="40" t="s">
        <v>383</v>
      </c>
      <c r="H29" s="18" t="s">
        <v>381</v>
      </c>
      <c r="I29" s="18">
        <v>9</v>
      </c>
      <c r="J29" s="22" t="s">
        <v>95</v>
      </c>
      <c r="K29" s="22"/>
      <c r="L29" s="19"/>
      <c r="M29" s="40"/>
      <c r="N29" s="15" t="str">
        <f t="shared" si="0"/>
        <v xml:space="preserve">   ,"BadTotCnt" : 999   }
]}</v>
      </c>
      <c r="O29" s="40">
        <v>999</v>
      </c>
    </row>
    <row r="30" spans="1:15" hidden="1">
      <c r="A30" s="15">
        <v>20</v>
      </c>
      <c r="B30" s="15" t="s">
        <v>158</v>
      </c>
      <c r="C30" s="33" t="str">
        <f>VLOOKUP($B30,API목록!$B$11:$C$39,2,0)</f>
        <v>일반문자수신</v>
      </c>
      <c r="D30" s="18">
        <v>1</v>
      </c>
      <c r="E30" s="31" t="s">
        <v>437</v>
      </c>
      <c r="F30" s="40" t="s">
        <v>98</v>
      </c>
      <c r="G30" s="40" t="s">
        <v>323</v>
      </c>
      <c r="H30" s="18" t="s">
        <v>1</v>
      </c>
      <c r="I30" s="18">
        <v>3</v>
      </c>
      <c r="J30" s="22" t="s">
        <v>95</v>
      </c>
      <c r="K30" s="22"/>
      <c r="L30" s="40" t="s">
        <v>323</v>
      </c>
      <c r="M30" s="24" t="s">
        <v>322</v>
      </c>
      <c r="N30" s="15" t="str">
        <f t="shared" si="0"/>
        <v>{"ApiReceiveTxtMsg":[
   {"UseLangCd" : "KOR"</v>
      </c>
      <c r="O30" s="24" t="s">
        <v>450</v>
      </c>
    </row>
    <row r="31" spans="1:15" hidden="1">
      <c r="A31" s="15">
        <v>21</v>
      </c>
      <c r="B31" s="15" t="s">
        <v>158</v>
      </c>
      <c r="C31" s="33" t="str">
        <f>VLOOKUP($B31,API목록!$B$11:$C$39,2,0)</f>
        <v>일반문자수신</v>
      </c>
      <c r="D31" s="18">
        <v>2</v>
      </c>
      <c r="E31" s="31" t="s">
        <v>437</v>
      </c>
      <c r="F31" s="37" t="s">
        <v>226</v>
      </c>
      <c r="G31" s="40" t="s">
        <v>373</v>
      </c>
      <c r="H31" s="18" t="s">
        <v>374</v>
      </c>
      <c r="I31" s="18">
        <v>20</v>
      </c>
      <c r="J31" s="22" t="s">
        <v>95</v>
      </c>
      <c r="K31" s="22"/>
      <c r="L31" s="19"/>
      <c r="M31" s="40"/>
      <c r="N31" s="15" t="str">
        <f t="shared" si="0"/>
        <v xml:space="preserve">   ,"UserPhnNo" : "01012345678"</v>
      </c>
      <c r="O31" s="24" t="s">
        <v>456</v>
      </c>
    </row>
    <row r="32" spans="1:15" hidden="1">
      <c r="A32" s="15">
        <v>22</v>
      </c>
      <c r="B32" s="15" t="s">
        <v>158</v>
      </c>
      <c r="C32" s="33" t="str">
        <f>VLOOKUP($B32,API목록!$B$11:$C$39,2,0)</f>
        <v>일반문자수신</v>
      </c>
      <c r="D32" s="18">
        <v>3</v>
      </c>
      <c r="E32" s="31" t="s">
        <v>437</v>
      </c>
      <c r="F32" s="37" t="s">
        <v>229</v>
      </c>
      <c r="G32" s="40" t="s">
        <v>378</v>
      </c>
      <c r="H32" s="18" t="s">
        <v>374</v>
      </c>
      <c r="I32" s="18">
        <v>20</v>
      </c>
      <c r="J32" s="22" t="s">
        <v>95</v>
      </c>
      <c r="K32" s="22"/>
      <c r="L32" s="19"/>
      <c r="M32" s="40"/>
      <c r="N32" s="15" t="str">
        <f t="shared" si="0"/>
        <v xml:space="preserve">   ,"PhnNo" : "01098765432"</v>
      </c>
      <c r="O32" s="40" t="s">
        <v>458</v>
      </c>
    </row>
    <row r="33" spans="1:15" hidden="1">
      <c r="A33" s="15">
        <v>23</v>
      </c>
      <c r="B33" s="15" t="s">
        <v>158</v>
      </c>
      <c r="C33" s="33" t="str">
        <f>VLOOKUP($B33,API목록!$B$11:$C$39,2,0)</f>
        <v>일반문자수신</v>
      </c>
      <c r="D33" s="18">
        <v>4</v>
      </c>
      <c r="E33" s="31" t="s">
        <v>437</v>
      </c>
      <c r="F33" s="37" t="s">
        <v>87</v>
      </c>
      <c r="G33" s="40" t="s">
        <v>293</v>
      </c>
      <c r="H33" s="18" t="s">
        <v>374</v>
      </c>
      <c r="I33" s="18">
        <v>3</v>
      </c>
      <c r="J33" s="22" t="s">
        <v>95</v>
      </c>
      <c r="K33" s="22"/>
      <c r="L33" s="40" t="s">
        <v>92</v>
      </c>
      <c r="M33" s="40" t="s">
        <v>319</v>
      </c>
      <c r="N33" s="15" t="str">
        <f t="shared" si="0"/>
        <v xml:space="preserve">   ,"MedPartCd" : "002"</v>
      </c>
      <c r="O33" s="40" t="s">
        <v>455</v>
      </c>
    </row>
    <row r="34" spans="1:15" hidden="1">
      <c r="A34" s="15">
        <v>24</v>
      </c>
      <c r="B34" s="15" t="s">
        <v>158</v>
      </c>
      <c r="C34" s="33" t="str">
        <f>VLOOKUP($B34,API목록!$B$11:$C$39,2,0)</f>
        <v>일반문자수신</v>
      </c>
      <c r="D34" s="18">
        <v>5</v>
      </c>
      <c r="E34" s="31" t="s">
        <v>437</v>
      </c>
      <c r="F34" s="37" t="s">
        <v>429</v>
      </c>
      <c r="G34" s="40" t="s">
        <v>377</v>
      </c>
      <c r="H34" s="18" t="s">
        <v>374</v>
      </c>
      <c r="I34" s="18">
        <v>3000</v>
      </c>
      <c r="J34" s="22" t="s">
        <v>95</v>
      </c>
      <c r="K34" s="22"/>
      <c r="L34" s="19"/>
      <c r="M34" s="40"/>
      <c r="N34" s="15" t="str">
        <f t="shared" si="0"/>
        <v xml:space="preserve">   ,"Msg" : "메시지내용"</v>
      </c>
      <c r="O34" s="40" t="s">
        <v>461</v>
      </c>
    </row>
    <row r="35" spans="1:15" hidden="1">
      <c r="A35" s="15">
        <v>25</v>
      </c>
      <c r="B35" s="15" t="s">
        <v>158</v>
      </c>
      <c r="C35" s="33" t="str">
        <f>VLOOKUP($B35,API목록!$B$11:$C$39,2,0)</f>
        <v>일반문자수신</v>
      </c>
      <c r="D35" s="18">
        <v>6</v>
      </c>
      <c r="E35" s="32" t="s">
        <v>224</v>
      </c>
      <c r="F35" s="40" t="s">
        <v>88</v>
      </c>
      <c r="G35" s="40" t="s">
        <v>303</v>
      </c>
      <c r="H35" s="18" t="s">
        <v>374</v>
      </c>
      <c r="I35" s="18">
        <v>7</v>
      </c>
      <c r="J35" s="22" t="s">
        <v>95</v>
      </c>
      <c r="K35" s="22"/>
      <c r="L35" s="16" t="s">
        <v>93</v>
      </c>
      <c r="M35" s="40"/>
      <c r="N35" s="15" t="str">
        <f t="shared" si="0"/>
        <v xml:space="preserve">   ,"ProcRsltCd" : "003-000"</v>
      </c>
      <c r="O35" s="24" t="s">
        <v>484</v>
      </c>
    </row>
    <row r="36" spans="1:15" hidden="1">
      <c r="A36" s="15">
        <v>26</v>
      </c>
      <c r="B36" s="15" t="s">
        <v>158</v>
      </c>
      <c r="C36" s="33" t="str">
        <f>VLOOKUP($B36,API목록!$B$11:$C$39,2,0)</f>
        <v>일반문자수신</v>
      </c>
      <c r="D36" s="18">
        <v>7</v>
      </c>
      <c r="E36" s="32" t="s">
        <v>224</v>
      </c>
      <c r="F36" s="40" t="s">
        <v>431</v>
      </c>
      <c r="G36" s="40" t="s">
        <v>430</v>
      </c>
      <c r="H36" s="18" t="s">
        <v>1</v>
      </c>
      <c r="I36" s="18">
        <v>1</v>
      </c>
      <c r="J36" s="22" t="s">
        <v>95</v>
      </c>
      <c r="K36" s="22"/>
      <c r="L36" s="19"/>
      <c r="M36" s="24" t="s">
        <v>434</v>
      </c>
      <c r="N36" s="15" t="str">
        <f t="shared" si="0"/>
        <v xml:space="preserve">   ,"RsltMsgPopupYN" : "Y"</v>
      </c>
      <c r="O36" s="24" t="s">
        <v>453</v>
      </c>
    </row>
    <row r="37" spans="1:15" hidden="1">
      <c r="A37" s="15">
        <v>27</v>
      </c>
      <c r="B37" s="15" t="s">
        <v>158</v>
      </c>
      <c r="C37" s="33" t="str">
        <f>VLOOKUP($B37,API목록!$B$11:$C$39,2,0)</f>
        <v>일반문자수신</v>
      </c>
      <c r="D37" s="18">
        <v>8</v>
      </c>
      <c r="E37" s="32" t="s">
        <v>224</v>
      </c>
      <c r="F37" s="40" t="s">
        <v>427</v>
      </c>
      <c r="G37" s="40" t="s">
        <v>428</v>
      </c>
      <c r="H37" s="18" t="s">
        <v>374</v>
      </c>
      <c r="I37" s="18">
        <v>300</v>
      </c>
      <c r="J37" s="22" t="s">
        <v>225</v>
      </c>
      <c r="K37" s="22"/>
      <c r="L37" s="19"/>
      <c r="M37" s="40"/>
      <c r="N37" s="15" t="str">
        <f t="shared" si="0"/>
        <v xml:space="preserve">   ,"RsltMsg" : "결과메시지"</v>
      </c>
      <c r="O37" s="24" t="s">
        <v>460</v>
      </c>
    </row>
    <row r="38" spans="1:15" hidden="1">
      <c r="A38" s="15">
        <v>28</v>
      </c>
      <c r="B38" s="15" t="s">
        <v>158</v>
      </c>
      <c r="C38" s="33" t="str">
        <f>VLOOKUP($B38,API목록!$B$11:$C$39,2,0)</f>
        <v>일반문자수신</v>
      </c>
      <c r="D38" s="18">
        <v>9</v>
      </c>
      <c r="E38" s="32" t="s">
        <v>224</v>
      </c>
      <c r="F38" s="37" t="s">
        <v>435</v>
      </c>
      <c r="G38" s="40" t="s">
        <v>94</v>
      </c>
      <c r="H38" s="18" t="s">
        <v>1</v>
      </c>
      <c r="I38" s="18">
        <v>100</v>
      </c>
      <c r="J38" s="22" t="s">
        <v>225</v>
      </c>
      <c r="K38" s="22"/>
      <c r="L38" s="19"/>
      <c r="M38" s="40"/>
      <c r="N38" s="15" t="str">
        <f t="shared" si="0"/>
        <v xml:space="preserve">   ,"TopTpClsNm" : "주식/투자"</v>
      </c>
      <c r="O38" s="40" t="s">
        <v>476</v>
      </c>
    </row>
    <row r="39" spans="1:15" hidden="1">
      <c r="A39" s="15">
        <v>29</v>
      </c>
      <c r="B39" s="15" t="s">
        <v>158</v>
      </c>
      <c r="C39" s="33" t="str">
        <f>VLOOKUP($B39,API목록!$B$11:$C$39,2,0)</f>
        <v>일반문자수신</v>
      </c>
      <c r="D39" s="18">
        <v>10</v>
      </c>
      <c r="E39" s="32" t="s">
        <v>224</v>
      </c>
      <c r="F39" s="37" t="s">
        <v>90</v>
      </c>
      <c r="G39" s="40" t="s">
        <v>379</v>
      </c>
      <c r="H39" s="18" t="s">
        <v>374</v>
      </c>
      <c r="I39" s="18">
        <v>1</v>
      </c>
      <c r="J39" s="22" t="s">
        <v>95</v>
      </c>
      <c r="K39" s="22"/>
      <c r="L39" s="19"/>
      <c r="M39" s="24" t="s">
        <v>434</v>
      </c>
      <c r="N39" s="15" t="str">
        <f t="shared" si="0"/>
        <v xml:space="preserve">   ,"WhtListYN" : "Y"</v>
      </c>
      <c r="O39" s="24" t="s">
        <v>453</v>
      </c>
    </row>
    <row r="40" spans="1:15" hidden="1">
      <c r="A40" s="15">
        <v>30</v>
      </c>
      <c r="B40" s="15" t="s">
        <v>158</v>
      </c>
      <c r="C40" s="33" t="str">
        <f>VLOOKUP($B40,API목록!$B$11:$C$39,2,0)</f>
        <v>일반문자수신</v>
      </c>
      <c r="D40" s="18">
        <v>11</v>
      </c>
      <c r="E40" s="32" t="s">
        <v>224</v>
      </c>
      <c r="F40" s="37" t="s">
        <v>91</v>
      </c>
      <c r="G40" s="40" t="s">
        <v>380</v>
      </c>
      <c r="H40" s="18" t="s">
        <v>374</v>
      </c>
      <c r="I40" s="18">
        <v>100</v>
      </c>
      <c r="J40" s="22" t="s">
        <v>225</v>
      </c>
      <c r="K40" s="22"/>
      <c r="L40" s="19"/>
      <c r="M40" s="40"/>
      <c r="N40" s="15" t="str">
        <f t="shared" si="0"/>
        <v xml:space="preserve">   ,"OrgNm" : "국민은행"</v>
      </c>
      <c r="O40" s="40" t="s">
        <v>462</v>
      </c>
    </row>
    <row r="41" spans="1:15" hidden="1">
      <c r="A41" s="15">
        <v>31</v>
      </c>
      <c r="B41" s="15" t="s">
        <v>158</v>
      </c>
      <c r="C41" s="33" t="str">
        <f>VLOOKUP($B41,API목록!$B$11:$C$39,2,0)</f>
        <v>일반문자수신</v>
      </c>
      <c r="D41" s="18">
        <v>12</v>
      </c>
      <c r="E41" s="32" t="s">
        <v>224</v>
      </c>
      <c r="F41" s="37" t="s">
        <v>311</v>
      </c>
      <c r="G41" s="40" t="s">
        <v>382</v>
      </c>
      <c r="H41" s="18" t="s">
        <v>381</v>
      </c>
      <c r="I41" s="18">
        <v>9</v>
      </c>
      <c r="J41" s="22" t="s">
        <v>95</v>
      </c>
      <c r="K41" s="22"/>
      <c r="L41" s="19"/>
      <c r="M41" s="40"/>
      <c r="N41" s="15" t="str">
        <f t="shared" si="0"/>
        <v xml:space="preserve">   ,"GoodTotCnt" : 999</v>
      </c>
      <c r="O41" s="40">
        <v>999</v>
      </c>
    </row>
    <row r="42" spans="1:15" hidden="1">
      <c r="A42" s="15">
        <v>32</v>
      </c>
      <c r="B42" s="15" t="s">
        <v>158</v>
      </c>
      <c r="C42" s="33" t="str">
        <f>VLOOKUP($B42,API목록!$B$11:$C$39,2,0)</f>
        <v>일반문자수신</v>
      </c>
      <c r="D42" s="18">
        <v>13</v>
      </c>
      <c r="E42" s="32" t="s">
        <v>224</v>
      </c>
      <c r="F42" s="21" t="s">
        <v>312</v>
      </c>
      <c r="G42" s="40" t="s">
        <v>383</v>
      </c>
      <c r="H42" s="18" t="s">
        <v>381</v>
      </c>
      <c r="I42" s="18">
        <v>9</v>
      </c>
      <c r="J42" s="22" t="s">
        <v>95</v>
      </c>
      <c r="K42" s="22"/>
      <c r="L42" s="19"/>
      <c r="M42" s="40"/>
      <c r="N42" s="15" t="str">
        <f t="shared" si="0"/>
        <v xml:space="preserve">   ,"BadTotCnt" : 999   }
]}</v>
      </c>
      <c r="O42" s="40">
        <v>999</v>
      </c>
    </row>
    <row r="43" spans="1:15" hidden="1">
      <c r="A43" s="15">
        <v>33</v>
      </c>
      <c r="B43" s="15" t="s">
        <v>160</v>
      </c>
      <c r="C43" s="33" t="str">
        <f>VLOOKUP($B43,API목록!$B$11:$C$39,2,0)</f>
        <v>URL문자수신</v>
      </c>
      <c r="D43" s="18">
        <v>1</v>
      </c>
      <c r="E43" s="31" t="s">
        <v>437</v>
      </c>
      <c r="F43" s="40" t="s">
        <v>98</v>
      </c>
      <c r="G43" s="40" t="s">
        <v>323</v>
      </c>
      <c r="H43" s="18" t="s">
        <v>1</v>
      </c>
      <c r="I43" s="18">
        <v>3</v>
      </c>
      <c r="J43" s="22" t="s">
        <v>95</v>
      </c>
      <c r="K43" s="22"/>
      <c r="L43" s="40" t="s">
        <v>323</v>
      </c>
      <c r="M43" s="24" t="s">
        <v>322</v>
      </c>
      <c r="N43" s="15" t="str">
        <f t="shared" si="0"/>
        <v>{"ApiReceiveUrlMsg":[
   {"UseLangCd" : "KOR"</v>
      </c>
      <c r="O43" s="24" t="s">
        <v>450</v>
      </c>
    </row>
    <row r="44" spans="1:15" hidden="1">
      <c r="A44" s="15">
        <v>34</v>
      </c>
      <c r="B44" s="15" t="s">
        <v>160</v>
      </c>
      <c r="C44" s="33" t="str">
        <f>VLOOKUP($B44,API목록!$B$11:$C$39,2,0)</f>
        <v>URL문자수신</v>
      </c>
      <c r="D44" s="18">
        <v>2</v>
      </c>
      <c r="E44" s="31" t="s">
        <v>437</v>
      </c>
      <c r="F44" s="37" t="s">
        <v>226</v>
      </c>
      <c r="G44" s="40" t="s">
        <v>373</v>
      </c>
      <c r="H44" s="18" t="s">
        <v>374</v>
      </c>
      <c r="I44" s="18">
        <v>20</v>
      </c>
      <c r="J44" s="22" t="s">
        <v>95</v>
      </c>
      <c r="K44" s="22"/>
      <c r="L44" s="19"/>
      <c r="M44" s="40"/>
      <c r="N44" s="15" t="str">
        <f t="shared" si="0"/>
        <v xml:space="preserve">   ,"UserPhnNo" : "01012345678"</v>
      </c>
      <c r="O44" s="24" t="s">
        <v>456</v>
      </c>
    </row>
    <row r="45" spans="1:15" hidden="1">
      <c r="A45" s="15">
        <v>35</v>
      </c>
      <c r="B45" s="15" t="s">
        <v>160</v>
      </c>
      <c r="C45" s="33" t="str">
        <f>VLOOKUP($B45,API목록!$B$11:$C$39,2,0)</f>
        <v>URL문자수신</v>
      </c>
      <c r="D45" s="18">
        <v>3</v>
      </c>
      <c r="E45" s="31" t="s">
        <v>437</v>
      </c>
      <c r="F45" s="37" t="s">
        <v>229</v>
      </c>
      <c r="G45" s="40" t="s">
        <v>378</v>
      </c>
      <c r="H45" s="18" t="s">
        <v>374</v>
      </c>
      <c r="I45" s="18">
        <v>20</v>
      </c>
      <c r="J45" s="22" t="s">
        <v>95</v>
      </c>
      <c r="K45" s="22"/>
      <c r="L45" s="19"/>
      <c r="M45" s="40"/>
      <c r="N45" s="15" t="str">
        <f t="shared" si="0"/>
        <v xml:space="preserve">   ,"PhnNo" : "01098765432"</v>
      </c>
      <c r="O45" s="40" t="s">
        <v>458</v>
      </c>
    </row>
    <row r="46" spans="1:15" hidden="1">
      <c r="A46" s="15">
        <v>36</v>
      </c>
      <c r="B46" s="15" t="s">
        <v>160</v>
      </c>
      <c r="C46" s="33" t="str">
        <f>VLOOKUP($B46,API목록!$B$11:$C$39,2,0)</f>
        <v>URL문자수신</v>
      </c>
      <c r="D46" s="18">
        <v>4</v>
      </c>
      <c r="E46" s="31" t="s">
        <v>437</v>
      </c>
      <c r="F46" s="37" t="s">
        <v>87</v>
      </c>
      <c r="G46" s="40" t="s">
        <v>293</v>
      </c>
      <c r="H46" s="18" t="s">
        <v>374</v>
      </c>
      <c r="I46" s="18">
        <v>3</v>
      </c>
      <c r="J46" s="22" t="s">
        <v>95</v>
      </c>
      <c r="K46" s="22"/>
      <c r="L46" s="40" t="s">
        <v>92</v>
      </c>
      <c r="M46" s="24" t="s">
        <v>320</v>
      </c>
      <c r="N46" s="15" t="str">
        <f t="shared" si="0"/>
        <v xml:space="preserve">   ,"MedPartCd" : "003"</v>
      </c>
      <c r="O46" s="24" t="s">
        <v>452</v>
      </c>
    </row>
    <row r="47" spans="1:15" hidden="1">
      <c r="A47" s="15">
        <v>37</v>
      </c>
      <c r="B47" s="15" t="s">
        <v>160</v>
      </c>
      <c r="C47" s="33" t="str">
        <f>VLOOKUP($B47,API목록!$B$11:$C$39,2,0)</f>
        <v>URL문자수신</v>
      </c>
      <c r="D47" s="18">
        <v>5</v>
      </c>
      <c r="E47" s="31" t="s">
        <v>437</v>
      </c>
      <c r="F47" s="37" t="s">
        <v>230</v>
      </c>
      <c r="G47" s="40" t="s">
        <v>377</v>
      </c>
      <c r="H47" s="18" t="s">
        <v>374</v>
      </c>
      <c r="I47" s="18">
        <v>3000</v>
      </c>
      <c r="J47" s="22" t="s">
        <v>95</v>
      </c>
      <c r="K47" s="22"/>
      <c r="L47" s="19"/>
      <c r="M47" s="40"/>
      <c r="N47" s="15" t="str">
        <f t="shared" si="0"/>
        <v xml:space="preserve">   ,"Msg" : "메시지내용"</v>
      </c>
      <c r="O47" s="40" t="s">
        <v>461</v>
      </c>
    </row>
    <row r="48" spans="1:15" ht="17" hidden="1">
      <c r="A48" s="15">
        <v>38</v>
      </c>
      <c r="B48" s="15" t="s">
        <v>160</v>
      </c>
      <c r="C48" s="33" t="str">
        <f>VLOOKUP($B48,API목록!$B$11:$C$39,2,0)</f>
        <v>URL문자수신</v>
      </c>
      <c r="D48" s="18">
        <v>6</v>
      </c>
      <c r="E48" s="31" t="s">
        <v>437</v>
      </c>
      <c r="F48" s="21" t="s">
        <v>231</v>
      </c>
      <c r="G48" s="40" t="s">
        <v>384</v>
      </c>
      <c r="H48" s="18" t="s">
        <v>374</v>
      </c>
      <c r="I48" s="18">
        <v>1000</v>
      </c>
      <c r="J48" s="22" t="s">
        <v>95</v>
      </c>
      <c r="K48" s="22"/>
      <c r="L48" s="19"/>
      <c r="M48" s="40" t="s">
        <v>433</v>
      </c>
      <c r="N48" s="15" t="str">
        <f t="shared" si="0"/>
        <v xml:space="preserve">   ,"MsgInURL" : "http://www.abc.co.kr"</v>
      </c>
      <c r="O48" s="45" t="s">
        <v>472</v>
      </c>
    </row>
    <row r="49" spans="1:15" hidden="1">
      <c r="A49" s="15">
        <v>39</v>
      </c>
      <c r="B49" s="15" t="s">
        <v>160</v>
      </c>
      <c r="C49" s="33" t="str">
        <f>VLOOKUP($B49,API목록!$B$11:$C$39,2,0)</f>
        <v>URL문자수신</v>
      </c>
      <c r="D49" s="18">
        <v>7</v>
      </c>
      <c r="E49" s="32" t="s">
        <v>224</v>
      </c>
      <c r="F49" s="40" t="s">
        <v>88</v>
      </c>
      <c r="G49" s="40" t="s">
        <v>303</v>
      </c>
      <c r="H49" s="18" t="s">
        <v>374</v>
      </c>
      <c r="I49" s="18">
        <v>7</v>
      </c>
      <c r="J49" s="22" t="s">
        <v>95</v>
      </c>
      <c r="K49" s="22"/>
      <c r="L49" s="16" t="s">
        <v>93</v>
      </c>
      <c r="M49" s="40"/>
      <c r="N49" s="15" t="str">
        <f t="shared" si="0"/>
        <v xml:space="preserve">   ,"ProcRsltCd" : "004-000"</v>
      </c>
      <c r="O49" s="24" t="s">
        <v>485</v>
      </c>
    </row>
    <row r="50" spans="1:15" hidden="1">
      <c r="A50" s="15">
        <v>40</v>
      </c>
      <c r="B50" s="15" t="s">
        <v>160</v>
      </c>
      <c r="C50" s="33" t="str">
        <f>VLOOKUP($B50,API목록!$B$11:$C$39,2,0)</f>
        <v>URL문자수신</v>
      </c>
      <c r="D50" s="18">
        <v>8</v>
      </c>
      <c r="E50" s="32" t="s">
        <v>224</v>
      </c>
      <c r="F50" s="40" t="s">
        <v>431</v>
      </c>
      <c r="G50" s="40" t="s">
        <v>430</v>
      </c>
      <c r="H50" s="18" t="s">
        <v>1</v>
      </c>
      <c r="I50" s="18">
        <v>1</v>
      </c>
      <c r="J50" s="22" t="s">
        <v>95</v>
      </c>
      <c r="K50" s="22"/>
      <c r="L50" s="19"/>
      <c r="M50" s="24" t="s">
        <v>434</v>
      </c>
      <c r="N50" s="15" t="str">
        <f t="shared" si="0"/>
        <v xml:space="preserve">   ,"RsltMsgPopupYN" : "Y"</v>
      </c>
      <c r="O50" s="24" t="s">
        <v>453</v>
      </c>
    </row>
    <row r="51" spans="1:15" hidden="1">
      <c r="A51" s="15">
        <v>41</v>
      </c>
      <c r="B51" s="15" t="s">
        <v>160</v>
      </c>
      <c r="C51" s="33" t="str">
        <f>VLOOKUP($B51,API목록!$B$11:$C$39,2,0)</f>
        <v>URL문자수신</v>
      </c>
      <c r="D51" s="18">
        <v>9</v>
      </c>
      <c r="E51" s="32" t="s">
        <v>224</v>
      </c>
      <c r="F51" s="40" t="s">
        <v>427</v>
      </c>
      <c r="G51" s="40" t="s">
        <v>428</v>
      </c>
      <c r="H51" s="18" t="s">
        <v>374</v>
      </c>
      <c r="I51" s="18">
        <v>300</v>
      </c>
      <c r="J51" s="22" t="s">
        <v>225</v>
      </c>
      <c r="K51" s="22"/>
      <c r="L51" s="19"/>
      <c r="M51" s="40"/>
      <c r="N51" s="15" t="str">
        <f t="shared" si="0"/>
        <v xml:space="preserve">   ,"RsltMsg" : "결과메시지"</v>
      </c>
      <c r="O51" s="24" t="s">
        <v>460</v>
      </c>
    </row>
    <row r="52" spans="1:15" hidden="1">
      <c r="A52" s="15">
        <v>42</v>
      </c>
      <c r="B52" s="15" t="s">
        <v>160</v>
      </c>
      <c r="C52" s="33" t="str">
        <f>VLOOKUP($B52,API목록!$B$11:$C$39,2,0)</f>
        <v>URL문자수신</v>
      </c>
      <c r="D52" s="18">
        <v>10</v>
      </c>
      <c r="E52" s="32" t="s">
        <v>224</v>
      </c>
      <c r="F52" s="37" t="s">
        <v>435</v>
      </c>
      <c r="G52" s="40" t="s">
        <v>94</v>
      </c>
      <c r="H52" s="18" t="s">
        <v>1</v>
      </c>
      <c r="I52" s="18">
        <v>100</v>
      </c>
      <c r="J52" s="22" t="s">
        <v>225</v>
      </c>
      <c r="K52" s="22"/>
      <c r="L52" s="19"/>
      <c r="M52" s="40"/>
      <c r="N52" s="15" t="str">
        <f t="shared" si="0"/>
        <v xml:space="preserve">   ,"TopTpClsNm" : "주식/투자"</v>
      </c>
      <c r="O52" s="40" t="s">
        <v>476</v>
      </c>
    </row>
    <row r="53" spans="1:15" hidden="1">
      <c r="A53" s="15">
        <v>43</v>
      </c>
      <c r="B53" s="15" t="s">
        <v>160</v>
      </c>
      <c r="C53" s="33" t="str">
        <f>VLOOKUP($B53,API목록!$B$11:$C$39,2,0)</f>
        <v>URL문자수신</v>
      </c>
      <c r="D53" s="18">
        <v>11</v>
      </c>
      <c r="E53" s="32" t="s">
        <v>224</v>
      </c>
      <c r="F53" s="37" t="s">
        <v>90</v>
      </c>
      <c r="G53" s="40" t="s">
        <v>379</v>
      </c>
      <c r="H53" s="18" t="s">
        <v>374</v>
      </c>
      <c r="I53" s="18">
        <v>1</v>
      </c>
      <c r="J53" s="22" t="s">
        <v>95</v>
      </c>
      <c r="K53" s="22"/>
      <c r="L53" s="19"/>
      <c r="M53" s="24" t="s">
        <v>434</v>
      </c>
      <c r="N53" s="15" t="str">
        <f t="shared" si="0"/>
        <v xml:space="preserve">   ,"WhtListYN" : "Y"</v>
      </c>
      <c r="O53" s="24" t="s">
        <v>453</v>
      </c>
    </row>
    <row r="54" spans="1:15" hidden="1">
      <c r="A54" s="15">
        <v>44</v>
      </c>
      <c r="B54" s="15" t="s">
        <v>160</v>
      </c>
      <c r="C54" s="33" t="str">
        <f>VLOOKUP($B54,API목록!$B$11:$C$39,2,0)</f>
        <v>URL문자수신</v>
      </c>
      <c r="D54" s="18">
        <v>12</v>
      </c>
      <c r="E54" s="32" t="s">
        <v>224</v>
      </c>
      <c r="F54" s="37" t="s">
        <v>91</v>
      </c>
      <c r="G54" s="40" t="s">
        <v>380</v>
      </c>
      <c r="H54" s="18" t="s">
        <v>374</v>
      </c>
      <c r="I54" s="18">
        <v>100</v>
      </c>
      <c r="J54" s="22" t="s">
        <v>225</v>
      </c>
      <c r="K54" s="22"/>
      <c r="L54" s="19"/>
      <c r="M54" s="40"/>
      <c r="N54" s="15" t="str">
        <f t="shared" si="0"/>
        <v xml:space="preserve">   ,"OrgNm" : "국민은행"</v>
      </c>
      <c r="O54" s="40" t="s">
        <v>462</v>
      </c>
    </row>
    <row r="55" spans="1:15" hidden="1">
      <c r="A55" s="15">
        <v>45</v>
      </c>
      <c r="B55" s="15" t="s">
        <v>160</v>
      </c>
      <c r="C55" s="33" t="str">
        <f>VLOOKUP($B55,API목록!$B$11:$C$39,2,0)</f>
        <v>URL문자수신</v>
      </c>
      <c r="D55" s="18">
        <v>13</v>
      </c>
      <c r="E55" s="32" t="s">
        <v>224</v>
      </c>
      <c r="F55" s="37" t="s">
        <v>311</v>
      </c>
      <c r="G55" s="40" t="s">
        <v>382</v>
      </c>
      <c r="H55" s="18" t="s">
        <v>381</v>
      </c>
      <c r="I55" s="18">
        <v>9</v>
      </c>
      <c r="J55" s="22" t="s">
        <v>225</v>
      </c>
      <c r="K55" s="22"/>
      <c r="L55" s="19"/>
      <c r="M55" s="40"/>
      <c r="N55" s="15" t="str">
        <f t="shared" si="0"/>
        <v xml:space="preserve">   ,"GoodTotCnt" : 999</v>
      </c>
      <c r="O55" s="40">
        <v>999</v>
      </c>
    </row>
    <row r="56" spans="1:15" hidden="1">
      <c r="A56" s="15">
        <v>46</v>
      </c>
      <c r="B56" s="15" t="s">
        <v>160</v>
      </c>
      <c r="C56" s="33" t="str">
        <f>VLOOKUP($B56,API목록!$B$11:$C$39,2,0)</f>
        <v>URL문자수신</v>
      </c>
      <c r="D56" s="18">
        <v>14</v>
      </c>
      <c r="E56" s="32" t="s">
        <v>224</v>
      </c>
      <c r="F56" s="21" t="s">
        <v>312</v>
      </c>
      <c r="G56" s="40" t="s">
        <v>383</v>
      </c>
      <c r="H56" s="18" t="s">
        <v>381</v>
      </c>
      <c r="I56" s="18">
        <v>9</v>
      </c>
      <c r="J56" s="22" t="s">
        <v>225</v>
      </c>
      <c r="K56" s="22"/>
      <c r="L56" s="19"/>
      <c r="M56" s="40"/>
      <c r="N56" s="15" t="str">
        <f t="shared" si="0"/>
        <v xml:space="preserve">   ,"BadTotCnt" : 999</v>
      </c>
      <c r="O56" s="40">
        <v>999</v>
      </c>
    </row>
    <row r="57" spans="1:15" hidden="1">
      <c r="A57" s="15">
        <v>47</v>
      </c>
      <c r="B57" s="15" t="s">
        <v>160</v>
      </c>
      <c r="C57" s="33" t="str">
        <f>VLOOKUP($B57,API목록!$B$11:$C$39,2,0)</f>
        <v>URL문자수신</v>
      </c>
      <c r="D57" s="18">
        <v>15</v>
      </c>
      <c r="E57" s="32" t="s">
        <v>224</v>
      </c>
      <c r="F57" s="21" t="s">
        <v>438</v>
      </c>
      <c r="G57" s="40" t="s">
        <v>338</v>
      </c>
      <c r="H57" s="18" t="s">
        <v>1</v>
      </c>
      <c r="I57" s="18">
        <v>1</v>
      </c>
      <c r="J57" s="22" t="s">
        <v>95</v>
      </c>
      <c r="K57" s="22"/>
      <c r="L57" s="19"/>
      <c r="M57" s="24" t="s">
        <v>434</v>
      </c>
      <c r="N57" s="15" t="str">
        <f t="shared" si="0"/>
        <v xml:space="preserve">   ,"SmisDoubtYN" : "Y"   }
]}</v>
      </c>
      <c r="O57" s="24" t="s">
        <v>453</v>
      </c>
    </row>
    <row r="58" spans="1:15" hidden="1">
      <c r="A58" s="15">
        <v>48</v>
      </c>
      <c r="B58" s="15" t="s">
        <v>162</v>
      </c>
      <c r="C58" s="33" t="str">
        <f>VLOOKUP($B58,API목록!$B$11:$C$39,2,0)</f>
        <v>신고등록(전화)</v>
      </c>
      <c r="D58" s="18">
        <v>1</v>
      </c>
      <c r="E58" s="31" t="s">
        <v>437</v>
      </c>
      <c r="F58" s="40" t="s">
        <v>98</v>
      </c>
      <c r="G58" s="40" t="s">
        <v>323</v>
      </c>
      <c r="H58" s="18" t="s">
        <v>1</v>
      </c>
      <c r="I58" s="18">
        <v>3</v>
      </c>
      <c r="J58" s="22" t="s">
        <v>95</v>
      </c>
      <c r="K58" s="22"/>
      <c r="L58" s="40" t="s">
        <v>323</v>
      </c>
      <c r="M58" s="24" t="s">
        <v>322</v>
      </c>
      <c r="N58" s="15" t="str">
        <f t="shared" si="0"/>
        <v>{"ApiReportRegPhn":[
   {"UseLangCd" : "KOR"</v>
      </c>
      <c r="O58" s="24" t="s">
        <v>450</v>
      </c>
    </row>
    <row r="59" spans="1:15" hidden="1">
      <c r="A59" s="15">
        <v>49</v>
      </c>
      <c r="B59" s="15" t="s">
        <v>162</v>
      </c>
      <c r="C59" s="33" t="str">
        <f>VLOOKUP($B59,API목록!$B$11:$C$39,2,0)</f>
        <v>신고등록(전화)</v>
      </c>
      <c r="D59" s="18">
        <v>2</v>
      </c>
      <c r="E59" s="31" t="s">
        <v>437</v>
      </c>
      <c r="F59" s="37" t="s">
        <v>85</v>
      </c>
      <c r="G59" s="40" t="s">
        <v>373</v>
      </c>
      <c r="H59" s="18" t="s">
        <v>374</v>
      </c>
      <c r="I59" s="18">
        <v>20</v>
      </c>
      <c r="J59" s="22" t="s">
        <v>95</v>
      </c>
      <c r="K59" s="22"/>
      <c r="L59" s="19"/>
      <c r="M59" s="40"/>
      <c r="N59" s="15" t="str">
        <f t="shared" si="0"/>
        <v xml:space="preserve">   ,"UserPhnNo" : "01012345678"</v>
      </c>
      <c r="O59" s="24" t="s">
        <v>456</v>
      </c>
    </row>
    <row r="60" spans="1:15" hidden="1">
      <c r="A60" s="15">
        <v>50</v>
      </c>
      <c r="B60" s="15" t="s">
        <v>162</v>
      </c>
      <c r="C60" s="33" t="str">
        <f>VLOOKUP($B60,API목록!$B$11:$C$39,2,0)</f>
        <v>신고등록(전화)</v>
      </c>
      <c r="D60" s="18">
        <v>3</v>
      </c>
      <c r="E60" s="31" t="s">
        <v>437</v>
      </c>
      <c r="F60" s="37" t="s">
        <v>229</v>
      </c>
      <c r="G60" s="40" t="s">
        <v>378</v>
      </c>
      <c r="H60" s="18" t="s">
        <v>374</v>
      </c>
      <c r="I60" s="18">
        <v>20</v>
      </c>
      <c r="J60" s="22" t="s">
        <v>95</v>
      </c>
      <c r="K60" s="22"/>
      <c r="L60" s="19"/>
      <c r="M60" s="40"/>
      <c r="N60" s="15" t="str">
        <f t="shared" si="0"/>
        <v xml:space="preserve">   ,"PhnNo" : "01098765432"</v>
      </c>
      <c r="O60" s="40" t="s">
        <v>458</v>
      </c>
    </row>
    <row r="61" spans="1:15" hidden="1">
      <c r="A61" s="15">
        <v>51</v>
      </c>
      <c r="B61" s="15" t="s">
        <v>162</v>
      </c>
      <c r="C61" s="33" t="str">
        <f>VLOOKUP($B61,API목록!$B$11:$C$39,2,0)</f>
        <v>신고등록(전화)</v>
      </c>
      <c r="D61" s="18">
        <v>4</v>
      </c>
      <c r="E61" s="31" t="s">
        <v>437</v>
      </c>
      <c r="F61" s="37" t="s">
        <v>87</v>
      </c>
      <c r="G61" s="40" t="s">
        <v>293</v>
      </c>
      <c r="H61" s="18" t="s">
        <v>374</v>
      </c>
      <c r="I61" s="18">
        <v>3</v>
      </c>
      <c r="J61" s="22" t="s">
        <v>95</v>
      </c>
      <c r="K61" s="22"/>
      <c r="L61" s="40" t="s">
        <v>92</v>
      </c>
      <c r="M61" s="40" t="s">
        <v>321</v>
      </c>
      <c r="N61" s="15" t="str">
        <f t="shared" si="0"/>
        <v xml:space="preserve">   ,"MedPartCd" : "001"</v>
      </c>
      <c r="O61" s="40" t="s">
        <v>454</v>
      </c>
    </row>
    <row r="62" spans="1:15" hidden="1">
      <c r="A62" s="15">
        <v>52</v>
      </c>
      <c r="B62" s="15" t="s">
        <v>162</v>
      </c>
      <c r="C62" s="33" t="str">
        <f>VLOOKUP($B62,API목록!$B$11:$C$39,2,0)</f>
        <v>신고등록(전화)</v>
      </c>
      <c r="D62" s="18">
        <v>5</v>
      </c>
      <c r="E62" s="31" t="s">
        <v>437</v>
      </c>
      <c r="F62" s="37" t="s">
        <v>232</v>
      </c>
      <c r="G62" s="40" t="s">
        <v>385</v>
      </c>
      <c r="H62" s="18" t="s">
        <v>374</v>
      </c>
      <c r="I62" s="18">
        <v>1</v>
      </c>
      <c r="J62" s="22" t="s">
        <v>95</v>
      </c>
      <c r="K62" s="22"/>
      <c r="L62" s="19"/>
      <c r="M62" s="24" t="s">
        <v>434</v>
      </c>
      <c r="N62" s="15" t="str">
        <f t="shared" si="0"/>
        <v xml:space="preserve">   ,"GoodYN" : "Y"</v>
      </c>
      <c r="O62" s="24" t="s">
        <v>453</v>
      </c>
    </row>
    <row r="63" spans="1:15" hidden="1">
      <c r="A63" s="15">
        <v>53</v>
      </c>
      <c r="B63" s="15" t="s">
        <v>162</v>
      </c>
      <c r="C63" s="33" t="str">
        <f>VLOOKUP($B63,API목록!$B$11:$C$39,2,0)</f>
        <v>신고등록(전화)</v>
      </c>
      <c r="D63" s="18">
        <v>6</v>
      </c>
      <c r="E63" s="31" t="s">
        <v>437</v>
      </c>
      <c r="F63" s="37" t="s">
        <v>327</v>
      </c>
      <c r="G63" s="40" t="s">
        <v>386</v>
      </c>
      <c r="H63" s="18" t="s">
        <v>374</v>
      </c>
      <c r="I63" s="18">
        <v>1</v>
      </c>
      <c r="J63" s="22" t="s">
        <v>95</v>
      </c>
      <c r="K63" s="22"/>
      <c r="L63" s="19"/>
      <c r="M63" s="24" t="s">
        <v>434</v>
      </c>
      <c r="N63" s="15" t="str">
        <f t="shared" si="0"/>
        <v xml:space="preserve">   ,"BlockYN" : "Y"</v>
      </c>
      <c r="O63" s="24" t="s">
        <v>453</v>
      </c>
    </row>
    <row r="64" spans="1:15" hidden="1">
      <c r="A64" s="15">
        <v>54</v>
      </c>
      <c r="B64" s="15" t="s">
        <v>162</v>
      </c>
      <c r="C64" s="33" t="str">
        <f>VLOOKUP($B64,API목록!$B$11:$C$39,2,0)</f>
        <v>신고등록(전화)</v>
      </c>
      <c r="D64" s="18">
        <v>7</v>
      </c>
      <c r="E64" s="31" t="s">
        <v>437</v>
      </c>
      <c r="F64" s="37" t="s">
        <v>436</v>
      </c>
      <c r="G64" s="40" t="s">
        <v>387</v>
      </c>
      <c r="H64" s="18" t="s">
        <v>374</v>
      </c>
      <c r="I64" s="18">
        <v>3</v>
      </c>
      <c r="J64" s="22" t="s">
        <v>225</v>
      </c>
      <c r="K64" s="22"/>
      <c r="L64" s="40" t="s">
        <v>387</v>
      </c>
      <c r="M64" s="40"/>
      <c r="N64" s="15" t="str">
        <f t="shared" si="0"/>
        <v xml:space="preserve">   ,"RptTpClsCd" : "008"</v>
      </c>
      <c r="O64" s="40" t="s">
        <v>477</v>
      </c>
    </row>
    <row r="65" spans="1:15" hidden="1">
      <c r="A65" s="15">
        <v>55</v>
      </c>
      <c r="B65" s="15" t="s">
        <v>162</v>
      </c>
      <c r="C65" s="33" t="str">
        <f>VLOOKUP($B65,API목록!$B$11:$C$39,2,0)</f>
        <v>신고등록(전화)</v>
      </c>
      <c r="D65" s="18">
        <v>8</v>
      </c>
      <c r="E65" s="31" t="s">
        <v>437</v>
      </c>
      <c r="F65" s="21" t="s">
        <v>102</v>
      </c>
      <c r="G65" s="40" t="s">
        <v>388</v>
      </c>
      <c r="H65" s="18" t="s">
        <v>374</v>
      </c>
      <c r="I65" s="18">
        <v>100</v>
      </c>
      <c r="J65" s="22" t="s">
        <v>372</v>
      </c>
      <c r="K65" s="22"/>
      <c r="L65" s="19"/>
      <c r="M65" s="40" t="s">
        <v>440</v>
      </c>
      <c r="N65" s="15" t="str">
        <f t="shared" si="0"/>
        <v xml:space="preserve">   ,"EtcTpInpDesc" : "기타유형입력내용"</v>
      </c>
      <c r="O65" s="40" t="s">
        <v>465</v>
      </c>
    </row>
    <row r="66" spans="1:15" hidden="1">
      <c r="A66" s="15">
        <v>56</v>
      </c>
      <c r="B66" s="15" t="s">
        <v>162</v>
      </c>
      <c r="C66" s="33" t="str">
        <f>VLOOKUP($B66,API목록!$B$11:$C$39,2,0)</f>
        <v>신고등록(전화)</v>
      </c>
      <c r="D66" s="18">
        <v>9</v>
      </c>
      <c r="E66" s="32" t="s">
        <v>224</v>
      </c>
      <c r="F66" s="40" t="s">
        <v>88</v>
      </c>
      <c r="G66" s="40" t="s">
        <v>303</v>
      </c>
      <c r="H66" s="18" t="s">
        <v>374</v>
      </c>
      <c r="I66" s="18">
        <v>7</v>
      </c>
      <c r="J66" s="22" t="s">
        <v>95</v>
      </c>
      <c r="K66" s="22"/>
      <c r="L66" s="16" t="s">
        <v>93</v>
      </c>
      <c r="M66" s="40"/>
      <c r="N66" s="15" t="str">
        <f t="shared" si="0"/>
        <v xml:space="preserve">   ,"ProcRsltCd" : "005-000"</v>
      </c>
      <c r="O66" s="24" t="s">
        <v>486</v>
      </c>
    </row>
    <row r="67" spans="1:15" hidden="1">
      <c r="A67" s="15">
        <v>57</v>
      </c>
      <c r="B67" s="15" t="s">
        <v>162</v>
      </c>
      <c r="C67" s="33" t="str">
        <f>VLOOKUP($B67,API목록!$B$11:$C$39,2,0)</f>
        <v>신고등록(전화)</v>
      </c>
      <c r="D67" s="18">
        <v>10</v>
      </c>
      <c r="E67" s="32" t="s">
        <v>224</v>
      </c>
      <c r="F67" s="40" t="s">
        <v>431</v>
      </c>
      <c r="G67" s="40" t="s">
        <v>430</v>
      </c>
      <c r="H67" s="18" t="s">
        <v>1</v>
      </c>
      <c r="I67" s="18">
        <v>1</v>
      </c>
      <c r="J67" s="22" t="s">
        <v>95</v>
      </c>
      <c r="K67" s="22"/>
      <c r="L67" s="19"/>
      <c r="M67" s="24" t="s">
        <v>434</v>
      </c>
      <c r="N67" s="15" t="str">
        <f t="shared" si="0"/>
        <v xml:space="preserve">   ,"RsltMsgPopupYN" : "Y"</v>
      </c>
      <c r="O67" s="24" t="s">
        <v>453</v>
      </c>
    </row>
    <row r="68" spans="1:15" hidden="1">
      <c r="A68" s="15">
        <v>58</v>
      </c>
      <c r="B68" s="15" t="s">
        <v>162</v>
      </c>
      <c r="C68" s="33" t="str">
        <f>VLOOKUP($B68,API목록!$B$11:$C$39,2,0)</f>
        <v>신고등록(전화)</v>
      </c>
      <c r="D68" s="18">
        <v>11</v>
      </c>
      <c r="E68" s="32" t="s">
        <v>224</v>
      </c>
      <c r="F68" s="40" t="s">
        <v>427</v>
      </c>
      <c r="G68" s="40" t="s">
        <v>428</v>
      </c>
      <c r="H68" s="18" t="s">
        <v>374</v>
      </c>
      <c r="I68" s="18">
        <v>300</v>
      </c>
      <c r="J68" s="22" t="s">
        <v>225</v>
      </c>
      <c r="K68" s="22"/>
      <c r="L68" s="19"/>
      <c r="M68" s="40"/>
      <c r="N68" s="15" t="str">
        <f t="shared" si="0"/>
        <v xml:space="preserve">   ,"RsltMsg" : "결과메시지"   }
]}</v>
      </c>
      <c r="O68" s="24" t="s">
        <v>460</v>
      </c>
    </row>
    <row r="69" spans="1:15" hidden="1">
      <c r="A69" s="15">
        <v>59</v>
      </c>
      <c r="B69" s="15" t="s">
        <v>166</v>
      </c>
      <c r="C69" s="33" t="str">
        <f>VLOOKUP($B69,API목록!$B$11:$C$39,2,0)</f>
        <v>신고등록(일반문자)</v>
      </c>
      <c r="D69" s="18">
        <v>1</v>
      </c>
      <c r="E69" s="31" t="s">
        <v>437</v>
      </c>
      <c r="F69" s="40" t="s">
        <v>98</v>
      </c>
      <c r="G69" s="40" t="s">
        <v>323</v>
      </c>
      <c r="H69" s="18" t="s">
        <v>1</v>
      </c>
      <c r="I69" s="18">
        <v>3</v>
      </c>
      <c r="J69" s="22" t="s">
        <v>95</v>
      </c>
      <c r="K69" s="22"/>
      <c r="L69" s="40" t="s">
        <v>323</v>
      </c>
      <c r="M69" s="24" t="s">
        <v>322</v>
      </c>
      <c r="N69" s="15" t="str">
        <f t="shared" si="0"/>
        <v>{"ApiReportRegTxtMsg":[
   {"UseLangCd" : "KOR"</v>
      </c>
      <c r="O69" s="24" t="s">
        <v>450</v>
      </c>
    </row>
    <row r="70" spans="1:15" hidden="1">
      <c r="A70" s="15">
        <v>60</v>
      </c>
      <c r="B70" s="15" t="s">
        <v>166</v>
      </c>
      <c r="C70" s="33" t="str">
        <f>VLOOKUP($B70,API목록!$B$11:$C$39,2,0)</f>
        <v>신고등록(일반문자)</v>
      </c>
      <c r="D70" s="18">
        <v>2</v>
      </c>
      <c r="E70" s="31" t="s">
        <v>437</v>
      </c>
      <c r="F70" s="37" t="s">
        <v>226</v>
      </c>
      <c r="G70" s="40" t="s">
        <v>373</v>
      </c>
      <c r="H70" s="18" t="s">
        <v>374</v>
      </c>
      <c r="I70" s="18">
        <v>20</v>
      </c>
      <c r="J70" s="22" t="s">
        <v>95</v>
      </c>
      <c r="K70" s="22"/>
      <c r="L70" s="19"/>
      <c r="M70" s="40"/>
      <c r="N70" s="15" t="str">
        <f t="shared" si="0"/>
        <v xml:space="preserve">   ,"UserPhnNo" : "01012345678"</v>
      </c>
      <c r="O70" s="24" t="s">
        <v>456</v>
      </c>
    </row>
    <row r="71" spans="1:15" hidden="1">
      <c r="A71" s="15">
        <v>61</v>
      </c>
      <c r="B71" s="15" t="s">
        <v>166</v>
      </c>
      <c r="C71" s="33" t="str">
        <f>VLOOKUP($B71,API목록!$B$11:$C$39,2,0)</f>
        <v>신고등록(일반문자)</v>
      </c>
      <c r="D71" s="18">
        <v>3</v>
      </c>
      <c r="E71" s="31" t="s">
        <v>437</v>
      </c>
      <c r="F71" s="37" t="s">
        <v>229</v>
      </c>
      <c r="G71" s="40" t="s">
        <v>378</v>
      </c>
      <c r="H71" s="18" t="s">
        <v>374</v>
      </c>
      <c r="I71" s="18">
        <v>20</v>
      </c>
      <c r="J71" s="22" t="s">
        <v>95</v>
      </c>
      <c r="K71" s="22"/>
      <c r="L71" s="19"/>
      <c r="M71" s="40"/>
      <c r="N71" s="15" t="str">
        <f t="shared" si="0"/>
        <v xml:space="preserve">   ,"PhnNo" : "01098765432"</v>
      </c>
      <c r="O71" s="40" t="s">
        <v>458</v>
      </c>
    </row>
    <row r="72" spans="1:15" hidden="1">
      <c r="A72" s="15">
        <v>62</v>
      </c>
      <c r="B72" s="15" t="s">
        <v>166</v>
      </c>
      <c r="C72" s="33" t="str">
        <f>VLOOKUP($B72,API목록!$B$11:$C$39,2,0)</f>
        <v>신고등록(일반문자)</v>
      </c>
      <c r="D72" s="18">
        <v>4</v>
      </c>
      <c r="E72" s="31" t="s">
        <v>437</v>
      </c>
      <c r="F72" s="37" t="s">
        <v>87</v>
      </c>
      <c r="G72" s="40" t="s">
        <v>293</v>
      </c>
      <c r="H72" s="18" t="s">
        <v>374</v>
      </c>
      <c r="I72" s="18">
        <v>3</v>
      </c>
      <c r="J72" s="22" t="s">
        <v>95</v>
      </c>
      <c r="K72" s="22"/>
      <c r="L72" s="40" t="s">
        <v>92</v>
      </c>
      <c r="M72" s="40" t="s">
        <v>319</v>
      </c>
      <c r="N72" s="15" t="str">
        <f t="shared" si="0"/>
        <v xml:space="preserve">   ,"MedPartCd" : "002"</v>
      </c>
      <c r="O72" s="40" t="s">
        <v>455</v>
      </c>
    </row>
    <row r="73" spans="1:15" hidden="1">
      <c r="A73" s="15">
        <v>63</v>
      </c>
      <c r="B73" s="15" t="s">
        <v>166</v>
      </c>
      <c r="C73" s="33" t="str">
        <f>VLOOKUP($B73,API목록!$B$11:$C$39,2,0)</f>
        <v>신고등록(일반문자)</v>
      </c>
      <c r="D73" s="18">
        <v>5</v>
      </c>
      <c r="E73" s="31" t="s">
        <v>437</v>
      </c>
      <c r="F73" s="37" t="s">
        <v>230</v>
      </c>
      <c r="G73" s="40" t="s">
        <v>377</v>
      </c>
      <c r="H73" s="18" t="s">
        <v>374</v>
      </c>
      <c r="I73" s="18">
        <v>3000</v>
      </c>
      <c r="J73" s="22" t="s">
        <v>95</v>
      </c>
      <c r="K73" s="22"/>
      <c r="L73" s="19"/>
      <c r="M73" s="40"/>
      <c r="N73" s="15" t="str">
        <f t="shared" si="0"/>
        <v xml:space="preserve">   ,"Msg" : "메시지내용"</v>
      </c>
      <c r="O73" s="40" t="s">
        <v>461</v>
      </c>
    </row>
    <row r="74" spans="1:15" hidden="1">
      <c r="A74" s="15">
        <v>64</v>
      </c>
      <c r="B74" s="15" t="s">
        <v>166</v>
      </c>
      <c r="C74" s="33" t="str">
        <f>VLOOKUP($B74,API목록!$B$11:$C$39,2,0)</f>
        <v>신고등록(일반문자)</v>
      </c>
      <c r="D74" s="18">
        <v>6</v>
      </c>
      <c r="E74" s="31" t="s">
        <v>437</v>
      </c>
      <c r="F74" s="37" t="s">
        <v>232</v>
      </c>
      <c r="G74" s="40" t="s">
        <v>385</v>
      </c>
      <c r="H74" s="18" t="s">
        <v>374</v>
      </c>
      <c r="I74" s="18">
        <v>1</v>
      </c>
      <c r="J74" s="22" t="s">
        <v>95</v>
      </c>
      <c r="K74" s="22"/>
      <c r="L74" s="19"/>
      <c r="M74" s="24" t="s">
        <v>434</v>
      </c>
      <c r="N74" s="15" t="str">
        <f t="shared" si="0"/>
        <v xml:space="preserve">   ,"GoodYN" : "Y"</v>
      </c>
      <c r="O74" s="24" t="s">
        <v>453</v>
      </c>
    </row>
    <row r="75" spans="1:15" hidden="1">
      <c r="A75" s="15">
        <v>65</v>
      </c>
      <c r="B75" s="15" t="s">
        <v>166</v>
      </c>
      <c r="C75" s="33" t="str">
        <f>VLOOKUP($B75,API목록!$B$11:$C$39,2,0)</f>
        <v>신고등록(일반문자)</v>
      </c>
      <c r="D75" s="18">
        <v>7</v>
      </c>
      <c r="E75" s="31" t="s">
        <v>437</v>
      </c>
      <c r="F75" s="37" t="s">
        <v>327</v>
      </c>
      <c r="G75" s="40" t="s">
        <v>386</v>
      </c>
      <c r="H75" s="18" t="s">
        <v>374</v>
      </c>
      <c r="I75" s="18">
        <v>1</v>
      </c>
      <c r="J75" s="22" t="s">
        <v>95</v>
      </c>
      <c r="K75" s="22"/>
      <c r="L75" s="19"/>
      <c r="M75" s="24" t="s">
        <v>434</v>
      </c>
      <c r="N75" s="15" t="str">
        <f t="shared" si="0"/>
        <v xml:space="preserve">   ,"BlockYN" : "Y"</v>
      </c>
      <c r="O75" s="24" t="s">
        <v>453</v>
      </c>
    </row>
    <row r="76" spans="1:15" hidden="1">
      <c r="A76" s="15">
        <v>66</v>
      </c>
      <c r="B76" s="15" t="s">
        <v>166</v>
      </c>
      <c r="C76" s="33" t="str">
        <f>VLOOKUP($B76,API목록!$B$11:$C$39,2,0)</f>
        <v>신고등록(일반문자)</v>
      </c>
      <c r="D76" s="18">
        <v>8</v>
      </c>
      <c r="E76" s="31" t="s">
        <v>437</v>
      </c>
      <c r="F76" s="37" t="s">
        <v>233</v>
      </c>
      <c r="G76" s="40" t="s">
        <v>387</v>
      </c>
      <c r="H76" s="18" t="s">
        <v>374</v>
      </c>
      <c r="I76" s="18">
        <v>3</v>
      </c>
      <c r="J76" s="22" t="s">
        <v>225</v>
      </c>
      <c r="K76" s="22"/>
      <c r="L76" s="40" t="s">
        <v>387</v>
      </c>
      <c r="M76" s="40"/>
      <c r="N76" s="15" t="str">
        <f t="shared" ref="N76:N139" si="1">IF(D76=1,"{"&amp;""""&amp;B76&amp;""""&amp;":["&amp;CHAR(10)&amp;"   {"&amp;""""&amp;G76&amp;""""&amp;" : "&amp;O76,"   ,"&amp;""""&amp;G76&amp;""""&amp;" : "&amp;O76)&amp;IF(D77=1,"   }"&amp;CHAR(10)&amp;"]}","")</f>
        <v xml:space="preserve">   ,"RptTpClsCd" : "008"</v>
      </c>
      <c r="O76" s="40" t="s">
        <v>477</v>
      </c>
    </row>
    <row r="77" spans="1:15" hidden="1">
      <c r="A77" s="15">
        <v>67</v>
      </c>
      <c r="B77" s="15" t="s">
        <v>166</v>
      </c>
      <c r="C77" s="33" t="str">
        <f>VLOOKUP($B77,API목록!$B$11:$C$39,2,0)</f>
        <v>신고등록(일반문자)</v>
      </c>
      <c r="D77" s="18">
        <v>9</v>
      </c>
      <c r="E77" s="31" t="s">
        <v>437</v>
      </c>
      <c r="F77" s="21" t="s">
        <v>102</v>
      </c>
      <c r="G77" s="40" t="s">
        <v>388</v>
      </c>
      <c r="H77" s="18" t="s">
        <v>374</v>
      </c>
      <c r="I77" s="18">
        <v>100</v>
      </c>
      <c r="J77" s="22" t="s">
        <v>372</v>
      </c>
      <c r="K77" s="22"/>
      <c r="L77" s="19"/>
      <c r="M77" s="40" t="s">
        <v>440</v>
      </c>
      <c r="N77" s="15" t="str">
        <f t="shared" si="1"/>
        <v xml:space="preserve">   ,"EtcTpInpDesc" : "기타유형입력내용"</v>
      </c>
      <c r="O77" s="40" t="s">
        <v>465</v>
      </c>
    </row>
    <row r="78" spans="1:15" hidden="1">
      <c r="A78" s="15">
        <v>68</v>
      </c>
      <c r="B78" s="15" t="s">
        <v>166</v>
      </c>
      <c r="C78" s="33" t="str">
        <f>VLOOKUP($B78,API목록!$B$11:$C$39,2,0)</f>
        <v>신고등록(일반문자)</v>
      </c>
      <c r="D78" s="18">
        <v>10</v>
      </c>
      <c r="E78" s="32" t="s">
        <v>224</v>
      </c>
      <c r="F78" s="40" t="s">
        <v>88</v>
      </c>
      <c r="G78" s="40" t="s">
        <v>303</v>
      </c>
      <c r="H78" s="18" t="s">
        <v>374</v>
      </c>
      <c r="I78" s="18">
        <v>7</v>
      </c>
      <c r="J78" s="22" t="s">
        <v>95</v>
      </c>
      <c r="K78" s="22"/>
      <c r="L78" s="16" t="s">
        <v>93</v>
      </c>
      <c r="M78" s="40"/>
      <c r="N78" s="15" t="str">
        <f t="shared" si="1"/>
        <v xml:space="preserve">   ,"ProcRsltCd" : "006-000"</v>
      </c>
      <c r="O78" s="24" t="s">
        <v>487</v>
      </c>
    </row>
    <row r="79" spans="1:15" hidden="1">
      <c r="A79" s="15">
        <v>69</v>
      </c>
      <c r="B79" s="15" t="s">
        <v>166</v>
      </c>
      <c r="C79" s="33" t="str">
        <f>VLOOKUP($B79,API목록!$B$11:$C$39,2,0)</f>
        <v>신고등록(일반문자)</v>
      </c>
      <c r="D79" s="18">
        <v>11</v>
      </c>
      <c r="E79" s="32" t="s">
        <v>224</v>
      </c>
      <c r="F79" s="40" t="s">
        <v>431</v>
      </c>
      <c r="G79" s="40" t="s">
        <v>430</v>
      </c>
      <c r="H79" s="18" t="s">
        <v>1</v>
      </c>
      <c r="I79" s="18">
        <v>1</v>
      </c>
      <c r="J79" s="22" t="s">
        <v>95</v>
      </c>
      <c r="K79" s="22"/>
      <c r="L79" s="19"/>
      <c r="M79" s="24" t="s">
        <v>434</v>
      </c>
      <c r="N79" s="15" t="str">
        <f t="shared" si="1"/>
        <v xml:space="preserve">   ,"RsltMsgPopupYN" : "Y"</v>
      </c>
      <c r="O79" s="24" t="s">
        <v>453</v>
      </c>
    </row>
    <row r="80" spans="1:15" hidden="1">
      <c r="A80" s="15">
        <v>70</v>
      </c>
      <c r="B80" s="15" t="s">
        <v>166</v>
      </c>
      <c r="C80" s="33" t="str">
        <f>VLOOKUP($B80,API목록!$B$11:$C$39,2,0)</f>
        <v>신고등록(일반문자)</v>
      </c>
      <c r="D80" s="18">
        <v>12</v>
      </c>
      <c r="E80" s="32" t="s">
        <v>224</v>
      </c>
      <c r="F80" s="40" t="s">
        <v>427</v>
      </c>
      <c r="G80" s="40" t="s">
        <v>428</v>
      </c>
      <c r="H80" s="18" t="s">
        <v>374</v>
      </c>
      <c r="I80" s="18">
        <v>300</v>
      </c>
      <c r="J80" s="22" t="s">
        <v>225</v>
      </c>
      <c r="K80" s="22"/>
      <c r="L80" s="19"/>
      <c r="M80" s="40"/>
      <c r="N80" s="15" t="str">
        <f t="shared" si="1"/>
        <v xml:space="preserve">   ,"RsltMsg" : "결과메시지"   }
]}</v>
      </c>
      <c r="O80" s="24" t="s">
        <v>460</v>
      </c>
    </row>
    <row r="81" spans="1:15" hidden="1">
      <c r="A81" s="15">
        <v>71</v>
      </c>
      <c r="B81" s="15" t="s">
        <v>168</v>
      </c>
      <c r="C81" s="33" t="str">
        <f>VLOOKUP($B81,API목록!$B$11:$C$39,2,0)</f>
        <v>신고등록(URL문자)</v>
      </c>
      <c r="D81" s="18">
        <v>1</v>
      </c>
      <c r="E81" s="31" t="s">
        <v>437</v>
      </c>
      <c r="F81" s="40" t="s">
        <v>98</v>
      </c>
      <c r="G81" s="40" t="s">
        <v>323</v>
      </c>
      <c r="H81" s="18" t="s">
        <v>1</v>
      </c>
      <c r="I81" s="18">
        <v>3</v>
      </c>
      <c r="J81" s="22" t="s">
        <v>95</v>
      </c>
      <c r="K81" s="22"/>
      <c r="L81" s="40" t="s">
        <v>323</v>
      </c>
      <c r="M81" s="24" t="s">
        <v>322</v>
      </c>
      <c r="N81" s="15" t="str">
        <f t="shared" si="1"/>
        <v>{"ApiReportRegUrlMsg":[
   {"UseLangCd" : "KOR"</v>
      </c>
      <c r="O81" s="24" t="s">
        <v>450</v>
      </c>
    </row>
    <row r="82" spans="1:15" hidden="1">
      <c r="A82" s="15">
        <v>72</v>
      </c>
      <c r="B82" s="15" t="s">
        <v>168</v>
      </c>
      <c r="C82" s="33" t="str">
        <f>VLOOKUP($B82,API목록!$B$11:$C$39,2,0)</f>
        <v>신고등록(URL문자)</v>
      </c>
      <c r="D82" s="18">
        <v>2</v>
      </c>
      <c r="E82" s="31" t="s">
        <v>437</v>
      </c>
      <c r="F82" s="37" t="s">
        <v>226</v>
      </c>
      <c r="G82" s="40" t="s">
        <v>373</v>
      </c>
      <c r="H82" s="18" t="s">
        <v>374</v>
      </c>
      <c r="I82" s="18">
        <v>20</v>
      </c>
      <c r="J82" s="22" t="s">
        <v>95</v>
      </c>
      <c r="K82" s="22"/>
      <c r="L82" s="19"/>
      <c r="M82" s="40"/>
      <c r="N82" s="15" t="str">
        <f t="shared" si="1"/>
        <v xml:space="preserve">   ,"UserPhnNo" : "01012345678"</v>
      </c>
      <c r="O82" s="24" t="s">
        <v>456</v>
      </c>
    </row>
    <row r="83" spans="1:15" hidden="1">
      <c r="A83" s="15">
        <v>73</v>
      </c>
      <c r="B83" s="15" t="s">
        <v>168</v>
      </c>
      <c r="C83" s="33" t="str">
        <f>VLOOKUP($B83,API목록!$B$11:$C$39,2,0)</f>
        <v>신고등록(URL문자)</v>
      </c>
      <c r="D83" s="18">
        <v>3</v>
      </c>
      <c r="E83" s="31" t="s">
        <v>437</v>
      </c>
      <c r="F83" s="37" t="s">
        <v>229</v>
      </c>
      <c r="G83" s="40" t="s">
        <v>378</v>
      </c>
      <c r="H83" s="18" t="s">
        <v>374</v>
      </c>
      <c r="I83" s="18">
        <v>20</v>
      </c>
      <c r="J83" s="22" t="s">
        <v>95</v>
      </c>
      <c r="K83" s="22"/>
      <c r="L83" s="19"/>
      <c r="M83" s="40"/>
      <c r="N83" s="15" t="str">
        <f t="shared" si="1"/>
        <v xml:space="preserve">   ,"PhnNo" : "01098765432"</v>
      </c>
      <c r="O83" s="40" t="s">
        <v>458</v>
      </c>
    </row>
    <row r="84" spans="1:15" hidden="1">
      <c r="A84" s="15">
        <v>74</v>
      </c>
      <c r="B84" s="15" t="s">
        <v>168</v>
      </c>
      <c r="C84" s="33" t="str">
        <f>VLOOKUP($B84,API목록!$B$11:$C$39,2,0)</f>
        <v>신고등록(URL문자)</v>
      </c>
      <c r="D84" s="18">
        <v>4</v>
      </c>
      <c r="E84" s="31" t="s">
        <v>437</v>
      </c>
      <c r="F84" s="37" t="s">
        <v>87</v>
      </c>
      <c r="G84" s="40" t="s">
        <v>293</v>
      </c>
      <c r="H84" s="18" t="s">
        <v>374</v>
      </c>
      <c r="I84" s="18">
        <v>3</v>
      </c>
      <c r="J84" s="22" t="s">
        <v>95</v>
      </c>
      <c r="K84" s="22"/>
      <c r="L84" s="40" t="s">
        <v>92</v>
      </c>
      <c r="M84" s="24" t="s">
        <v>320</v>
      </c>
      <c r="N84" s="15" t="str">
        <f t="shared" si="1"/>
        <v xml:space="preserve">   ,"MedPartCd" : "003"</v>
      </c>
      <c r="O84" s="24" t="s">
        <v>452</v>
      </c>
    </row>
    <row r="85" spans="1:15" hidden="1">
      <c r="A85" s="15">
        <v>75</v>
      </c>
      <c r="B85" s="15" t="s">
        <v>168</v>
      </c>
      <c r="C85" s="33" t="str">
        <f>VLOOKUP($B85,API목록!$B$11:$C$39,2,0)</f>
        <v>신고등록(URL문자)</v>
      </c>
      <c r="D85" s="18">
        <v>5</v>
      </c>
      <c r="E85" s="31" t="s">
        <v>437</v>
      </c>
      <c r="F85" s="37" t="s">
        <v>230</v>
      </c>
      <c r="G85" s="40" t="s">
        <v>377</v>
      </c>
      <c r="H85" s="18" t="s">
        <v>374</v>
      </c>
      <c r="I85" s="18">
        <v>3000</v>
      </c>
      <c r="J85" s="22" t="s">
        <v>95</v>
      </c>
      <c r="K85" s="22"/>
      <c r="L85" s="19"/>
      <c r="M85" s="40"/>
      <c r="N85" s="15" t="str">
        <f t="shared" si="1"/>
        <v xml:space="preserve">   ,"Msg" : "메시지내용"</v>
      </c>
      <c r="O85" s="40" t="s">
        <v>461</v>
      </c>
    </row>
    <row r="86" spans="1:15" ht="17" hidden="1">
      <c r="A86" s="15">
        <v>76</v>
      </c>
      <c r="B86" s="15" t="s">
        <v>168</v>
      </c>
      <c r="C86" s="33" t="str">
        <f>VLOOKUP($B86,API목록!$B$11:$C$39,2,0)</f>
        <v>신고등록(URL문자)</v>
      </c>
      <c r="D86" s="18">
        <v>6</v>
      </c>
      <c r="E86" s="31" t="s">
        <v>437</v>
      </c>
      <c r="F86" s="37" t="s">
        <v>231</v>
      </c>
      <c r="G86" s="40" t="s">
        <v>384</v>
      </c>
      <c r="H86" s="18" t="s">
        <v>374</v>
      </c>
      <c r="I86" s="18">
        <v>1000</v>
      </c>
      <c r="J86" s="22" t="s">
        <v>95</v>
      </c>
      <c r="K86" s="22"/>
      <c r="L86" s="19"/>
      <c r="M86" s="40" t="s">
        <v>433</v>
      </c>
      <c r="N86" s="15" t="str">
        <f t="shared" si="1"/>
        <v xml:space="preserve">   ,"MsgInURL" : "http://www.abc.co.kr"</v>
      </c>
      <c r="O86" s="45" t="s">
        <v>472</v>
      </c>
    </row>
    <row r="87" spans="1:15" hidden="1">
      <c r="A87" s="15">
        <v>77</v>
      </c>
      <c r="B87" s="15" t="s">
        <v>168</v>
      </c>
      <c r="C87" s="33" t="str">
        <f>VLOOKUP($B87,API목록!$B$11:$C$39,2,0)</f>
        <v>신고등록(URL문자)</v>
      </c>
      <c r="D87" s="18">
        <v>7</v>
      </c>
      <c r="E87" s="31" t="s">
        <v>437</v>
      </c>
      <c r="F87" s="37" t="s">
        <v>232</v>
      </c>
      <c r="G87" s="40" t="s">
        <v>385</v>
      </c>
      <c r="H87" s="18" t="s">
        <v>374</v>
      </c>
      <c r="I87" s="18">
        <v>1</v>
      </c>
      <c r="J87" s="22" t="s">
        <v>95</v>
      </c>
      <c r="K87" s="22"/>
      <c r="L87" s="19"/>
      <c r="M87" s="24" t="s">
        <v>434</v>
      </c>
      <c r="N87" s="15" t="str">
        <f t="shared" si="1"/>
        <v xml:space="preserve">   ,"GoodYN" : "Y"</v>
      </c>
      <c r="O87" s="24" t="s">
        <v>453</v>
      </c>
    </row>
    <row r="88" spans="1:15" hidden="1">
      <c r="A88" s="15">
        <v>78</v>
      </c>
      <c r="B88" s="15" t="s">
        <v>168</v>
      </c>
      <c r="C88" s="33" t="str">
        <f>VLOOKUP($B88,API목록!$B$11:$C$39,2,0)</f>
        <v>신고등록(URL문자)</v>
      </c>
      <c r="D88" s="18">
        <v>8</v>
      </c>
      <c r="E88" s="31" t="s">
        <v>437</v>
      </c>
      <c r="F88" s="37" t="s">
        <v>327</v>
      </c>
      <c r="G88" s="40" t="s">
        <v>386</v>
      </c>
      <c r="H88" s="18" t="s">
        <v>374</v>
      </c>
      <c r="I88" s="18">
        <v>1</v>
      </c>
      <c r="J88" s="22" t="s">
        <v>95</v>
      </c>
      <c r="K88" s="22"/>
      <c r="L88" s="19"/>
      <c r="M88" s="24" t="s">
        <v>434</v>
      </c>
      <c r="N88" s="15" t="str">
        <f t="shared" si="1"/>
        <v xml:space="preserve">   ,"BlockYN" : "Y"</v>
      </c>
      <c r="O88" s="24" t="s">
        <v>453</v>
      </c>
    </row>
    <row r="89" spans="1:15" hidden="1">
      <c r="A89" s="15">
        <v>79</v>
      </c>
      <c r="B89" s="15" t="s">
        <v>168</v>
      </c>
      <c r="C89" s="33" t="str">
        <f>VLOOKUP($B89,API목록!$B$11:$C$39,2,0)</f>
        <v>신고등록(URL문자)</v>
      </c>
      <c r="D89" s="18">
        <v>9</v>
      </c>
      <c r="E89" s="31" t="s">
        <v>437</v>
      </c>
      <c r="F89" s="37" t="s">
        <v>233</v>
      </c>
      <c r="G89" s="40" t="s">
        <v>387</v>
      </c>
      <c r="H89" s="18" t="s">
        <v>374</v>
      </c>
      <c r="I89" s="18">
        <v>3</v>
      </c>
      <c r="J89" s="22" t="s">
        <v>225</v>
      </c>
      <c r="K89" s="22"/>
      <c r="L89" s="40" t="s">
        <v>387</v>
      </c>
      <c r="M89" s="40"/>
      <c r="N89" s="15" t="str">
        <f t="shared" si="1"/>
        <v xml:space="preserve">   ,"RptTpClsCd" : "008"</v>
      </c>
      <c r="O89" s="40" t="s">
        <v>477</v>
      </c>
    </row>
    <row r="90" spans="1:15" hidden="1">
      <c r="A90" s="15">
        <v>80</v>
      </c>
      <c r="B90" s="15" t="s">
        <v>168</v>
      </c>
      <c r="C90" s="33" t="str">
        <f>VLOOKUP($B90,API목록!$B$11:$C$39,2,0)</f>
        <v>신고등록(URL문자)</v>
      </c>
      <c r="D90" s="18">
        <v>10</v>
      </c>
      <c r="E90" s="31" t="s">
        <v>437</v>
      </c>
      <c r="F90" s="21" t="s">
        <v>102</v>
      </c>
      <c r="G90" s="40" t="s">
        <v>388</v>
      </c>
      <c r="H90" s="18" t="s">
        <v>374</v>
      </c>
      <c r="I90" s="18">
        <v>100</v>
      </c>
      <c r="J90" s="22" t="s">
        <v>372</v>
      </c>
      <c r="K90" s="22"/>
      <c r="L90" s="19"/>
      <c r="M90" s="40" t="s">
        <v>440</v>
      </c>
      <c r="N90" s="15" t="str">
        <f t="shared" si="1"/>
        <v xml:space="preserve">   ,"EtcTpInpDesc" : "기타유형입력내용"</v>
      </c>
      <c r="O90" s="40" t="s">
        <v>465</v>
      </c>
    </row>
    <row r="91" spans="1:15" hidden="1">
      <c r="A91" s="15">
        <v>81</v>
      </c>
      <c r="B91" s="15" t="s">
        <v>168</v>
      </c>
      <c r="C91" s="33" t="str">
        <f>VLOOKUP($B91,API목록!$B$11:$C$39,2,0)</f>
        <v>신고등록(URL문자)</v>
      </c>
      <c r="D91" s="18">
        <v>11</v>
      </c>
      <c r="E91" s="32" t="s">
        <v>224</v>
      </c>
      <c r="F91" s="40" t="s">
        <v>88</v>
      </c>
      <c r="G91" s="40" t="s">
        <v>303</v>
      </c>
      <c r="H91" s="18" t="s">
        <v>374</v>
      </c>
      <c r="I91" s="18">
        <v>7</v>
      </c>
      <c r="J91" s="22" t="s">
        <v>95</v>
      </c>
      <c r="K91" s="22"/>
      <c r="L91" s="16" t="s">
        <v>93</v>
      </c>
      <c r="M91" s="40"/>
      <c r="N91" s="15" t="str">
        <f t="shared" si="1"/>
        <v xml:space="preserve">   ,"ProcRsltCd" : "007-000"</v>
      </c>
      <c r="O91" s="24" t="s">
        <v>488</v>
      </c>
    </row>
    <row r="92" spans="1:15" hidden="1">
      <c r="A92" s="15">
        <v>82</v>
      </c>
      <c r="B92" s="15" t="s">
        <v>168</v>
      </c>
      <c r="C92" s="33" t="str">
        <f>VLOOKUP($B92,API목록!$B$11:$C$39,2,0)</f>
        <v>신고등록(URL문자)</v>
      </c>
      <c r="D92" s="18">
        <v>12</v>
      </c>
      <c r="E92" s="32" t="s">
        <v>224</v>
      </c>
      <c r="F92" s="40" t="s">
        <v>431</v>
      </c>
      <c r="G92" s="40" t="s">
        <v>430</v>
      </c>
      <c r="H92" s="18" t="s">
        <v>1</v>
      </c>
      <c r="I92" s="18">
        <v>1</v>
      </c>
      <c r="J92" s="22" t="s">
        <v>95</v>
      </c>
      <c r="K92" s="22"/>
      <c r="L92" s="19"/>
      <c r="M92" s="24" t="s">
        <v>434</v>
      </c>
      <c r="N92" s="15" t="str">
        <f t="shared" si="1"/>
        <v xml:space="preserve">   ,"RsltMsgPopupYN" : "Y"</v>
      </c>
      <c r="O92" s="24" t="s">
        <v>453</v>
      </c>
    </row>
    <row r="93" spans="1:15" hidden="1">
      <c r="A93" s="15">
        <v>83</v>
      </c>
      <c r="B93" s="15" t="s">
        <v>168</v>
      </c>
      <c r="C93" s="33" t="str">
        <f>VLOOKUP($B93,API목록!$B$11:$C$39,2,0)</f>
        <v>신고등록(URL문자)</v>
      </c>
      <c r="D93" s="18">
        <v>13</v>
      </c>
      <c r="E93" s="32" t="s">
        <v>224</v>
      </c>
      <c r="F93" s="40" t="s">
        <v>427</v>
      </c>
      <c r="G93" s="40" t="s">
        <v>428</v>
      </c>
      <c r="H93" s="18" t="s">
        <v>374</v>
      </c>
      <c r="I93" s="18">
        <v>300</v>
      </c>
      <c r="J93" s="22" t="s">
        <v>225</v>
      </c>
      <c r="K93" s="22"/>
      <c r="L93" s="19"/>
      <c r="M93" s="40"/>
      <c r="N93" s="15" t="str">
        <f t="shared" si="1"/>
        <v xml:space="preserve">   ,"RsltMsg" : "결과메시지"   }
]}</v>
      </c>
      <c r="O93" s="24" t="s">
        <v>460</v>
      </c>
    </row>
    <row r="94" spans="1:15" hidden="1">
      <c r="A94" s="15">
        <v>84</v>
      </c>
      <c r="B94" s="15" t="s">
        <v>157</v>
      </c>
      <c r="C94" s="33" t="str">
        <f>VLOOKUP($B94,API목록!$B$11:$C$39,2,0)</f>
        <v>차단해제</v>
      </c>
      <c r="D94" s="18">
        <v>1</v>
      </c>
      <c r="E94" s="31" t="s">
        <v>437</v>
      </c>
      <c r="F94" s="40" t="s">
        <v>98</v>
      </c>
      <c r="G94" s="40" t="s">
        <v>323</v>
      </c>
      <c r="H94" s="18" t="s">
        <v>1</v>
      </c>
      <c r="I94" s="18">
        <v>3</v>
      </c>
      <c r="J94" s="22" t="s">
        <v>95</v>
      </c>
      <c r="K94" s="22"/>
      <c r="L94" s="40" t="s">
        <v>323</v>
      </c>
      <c r="M94" s="24" t="s">
        <v>322</v>
      </c>
      <c r="N94" s="15" t="str">
        <f t="shared" si="1"/>
        <v>{"ApiUnblock":[
   {"UseLangCd" : "KOR"</v>
      </c>
      <c r="O94" s="24" t="s">
        <v>450</v>
      </c>
    </row>
    <row r="95" spans="1:15" hidden="1">
      <c r="A95" s="15">
        <v>85</v>
      </c>
      <c r="B95" s="15" t="s">
        <v>157</v>
      </c>
      <c r="C95" s="33" t="str">
        <f>VLOOKUP($B95,API목록!$B$11:$C$39,2,0)</f>
        <v>차단해제</v>
      </c>
      <c r="D95" s="18">
        <v>2</v>
      </c>
      <c r="E95" s="31" t="s">
        <v>437</v>
      </c>
      <c r="F95" s="37" t="s">
        <v>226</v>
      </c>
      <c r="G95" s="40" t="s">
        <v>373</v>
      </c>
      <c r="H95" s="18" t="s">
        <v>374</v>
      </c>
      <c r="I95" s="18">
        <v>20</v>
      </c>
      <c r="J95" s="22" t="s">
        <v>95</v>
      </c>
      <c r="K95" s="22"/>
      <c r="L95" s="19"/>
      <c r="M95" s="40"/>
      <c r="N95" s="15" t="str">
        <f t="shared" si="1"/>
        <v xml:space="preserve">   ,"UserPhnNo" : "01012345678"</v>
      </c>
      <c r="O95" s="24" t="s">
        <v>456</v>
      </c>
    </row>
    <row r="96" spans="1:15" hidden="1">
      <c r="A96" s="15">
        <v>86</v>
      </c>
      <c r="B96" s="15" t="s">
        <v>157</v>
      </c>
      <c r="C96" s="33" t="str">
        <f>VLOOKUP($B96,API목록!$B$11:$C$39,2,0)</f>
        <v>차단해제</v>
      </c>
      <c r="D96" s="18">
        <v>3</v>
      </c>
      <c r="E96" s="31" t="s">
        <v>437</v>
      </c>
      <c r="F96" s="37" t="s">
        <v>229</v>
      </c>
      <c r="G96" s="40" t="s">
        <v>378</v>
      </c>
      <c r="H96" s="18" t="s">
        <v>374</v>
      </c>
      <c r="I96" s="18">
        <v>20</v>
      </c>
      <c r="J96" s="22" t="s">
        <v>95</v>
      </c>
      <c r="K96" s="22"/>
      <c r="L96" s="19"/>
      <c r="M96" s="40"/>
      <c r="N96" s="15" t="str">
        <f t="shared" si="1"/>
        <v xml:space="preserve">   ,"PhnNo" : "01098765432"</v>
      </c>
      <c r="O96" s="40" t="s">
        <v>458</v>
      </c>
    </row>
    <row r="97" spans="1:15" hidden="1">
      <c r="A97" s="15">
        <v>87</v>
      </c>
      <c r="B97" s="15" t="s">
        <v>157</v>
      </c>
      <c r="C97" s="33" t="str">
        <f>VLOOKUP($B97,API목록!$B$11:$C$39,2,0)</f>
        <v>차단해제</v>
      </c>
      <c r="D97" s="18">
        <v>4</v>
      </c>
      <c r="E97" s="32" t="s">
        <v>224</v>
      </c>
      <c r="F97" s="40" t="s">
        <v>88</v>
      </c>
      <c r="G97" s="40" t="s">
        <v>303</v>
      </c>
      <c r="H97" s="18" t="s">
        <v>374</v>
      </c>
      <c r="I97" s="18">
        <v>7</v>
      </c>
      <c r="J97" s="22" t="s">
        <v>95</v>
      </c>
      <c r="K97" s="22"/>
      <c r="L97" s="16" t="s">
        <v>93</v>
      </c>
      <c r="M97" s="40"/>
      <c r="N97" s="15" t="str">
        <f t="shared" si="1"/>
        <v xml:space="preserve">   ,"ProcRsltCd" : "008-000"</v>
      </c>
      <c r="O97" s="24" t="s">
        <v>489</v>
      </c>
    </row>
    <row r="98" spans="1:15" hidden="1">
      <c r="A98" s="15">
        <v>88</v>
      </c>
      <c r="B98" s="15" t="s">
        <v>157</v>
      </c>
      <c r="C98" s="33" t="str">
        <f>VLOOKUP($B98,API목록!$B$11:$C$39,2,0)</f>
        <v>차단해제</v>
      </c>
      <c r="D98" s="18">
        <v>5</v>
      </c>
      <c r="E98" s="32" t="s">
        <v>224</v>
      </c>
      <c r="F98" s="40" t="s">
        <v>431</v>
      </c>
      <c r="G98" s="40" t="s">
        <v>430</v>
      </c>
      <c r="H98" s="18" t="s">
        <v>1</v>
      </c>
      <c r="I98" s="18">
        <v>1</v>
      </c>
      <c r="J98" s="22" t="s">
        <v>95</v>
      </c>
      <c r="K98" s="22"/>
      <c r="L98" s="19"/>
      <c r="M98" s="24" t="s">
        <v>434</v>
      </c>
      <c r="N98" s="15" t="str">
        <f t="shared" si="1"/>
        <v xml:space="preserve">   ,"RsltMsgPopupYN" : "Y"</v>
      </c>
      <c r="O98" s="24" t="s">
        <v>453</v>
      </c>
    </row>
    <row r="99" spans="1:15" hidden="1">
      <c r="A99" s="15">
        <v>89</v>
      </c>
      <c r="B99" s="15" t="s">
        <v>157</v>
      </c>
      <c r="C99" s="33" t="str">
        <f>VLOOKUP($B99,API목록!$B$11:$C$39,2,0)</f>
        <v>차단해제</v>
      </c>
      <c r="D99" s="18">
        <v>6</v>
      </c>
      <c r="E99" s="32" t="s">
        <v>224</v>
      </c>
      <c r="F99" s="40" t="s">
        <v>427</v>
      </c>
      <c r="G99" s="40" t="s">
        <v>428</v>
      </c>
      <c r="H99" s="18" t="s">
        <v>374</v>
      </c>
      <c r="I99" s="18">
        <v>300</v>
      </c>
      <c r="J99" s="22" t="s">
        <v>225</v>
      </c>
      <c r="K99" s="22"/>
      <c r="L99" s="19"/>
      <c r="M99" s="40"/>
      <c r="N99" s="15" t="str">
        <f t="shared" si="1"/>
        <v xml:space="preserve">   ,"RsltMsg" : "결과메시지"   }
]}</v>
      </c>
      <c r="O99" s="24" t="s">
        <v>460</v>
      </c>
    </row>
    <row r="100" spans="1:15" hidden="1">
      <c r="A100" s="15">
        <v>90</v>
      </c>
      <c r="B100" s="15" t="s">
        <v>210</v>
      </c>
      <c r="C100" s="33" t="str">
        <f>VLOOKUP($B100,API목록!$B$11:$C$39,2,0)</f>
        <v>안심번호등록</v>
      </c>
      <c r="D100" s="18">
        <v>1</v>
      </c>
      <c r="E100" s="31" t="s">
        <v>437</v>
      </c>
      <c r="F100" s="40" t="s">
        <v>98</v>
      </c>
      <c r="G100" s="40" t="s">
        <v>323</v>
      </c>
      <c r="H100" s="18" t="s">
        <v>1</v>
      </c>
      <c r="I100" s="18">
        <v>3</v>
      </c>
      <c r="J100" s="22" t="s">
        <v>95</v>
      </c>
      <c r="K100" s="22"/>
      <c r="L100" s="40" t="s">
        <v>323</v>
      </c>
      <c r="M100" s="24" t="s">
        <v>322</v>
      </c>
      <c r="N100" s="15" t="str">
        <f t="shared" si="1"/>
        <v>{"ApiSafeNumberReg":[
   {"UseLangCd" : "KOR"</v>
      </c>
      <c r="O100" s="24" t="s">
        <v>450</v>
      </c>
    </row>
    <row r="101" spans="1:15" hidden="1">
      <c r="A101" s="15">
        <v>91</v>
      </c>
      <c r="B101" s="15" t="s">
        <v>210</v>
      </c>
      <c r="C101" s="33" t="str">
        <f>VLOOKUP($B101,API목록!$B$11:$C$39,2,0)</f>
        <v>안심번호등록</v>
      </c>
      <c r="D101" s="18">
        <v>2</v>
      </c>
      <c r="E101" s="31" t="s">
        <v>437</v>
      </c>
      <c r="F101" s="37" t="s">
        <v>226</v>
      </c>
      <c r="G101" s="40" t="s">
        <v>373</v>
      </c>
      <c r="H101" s="18" t="s">
        <v>374</v>
      </c>
      <c r="I101" s="18">
        <v>20</v>
      </c>
      <c r="J101" s="22" t="s">
        <v>95</v>
      </c>
      <c r="K101" s="22"/>
      <c r="L101" s="19"/>
      <c r="M101" s="40"/>
      <c r="N101" s="15" t="str">
        <f t="shared" si="1"/>
        <v xml:space="preserve">   ,"UserPhnNo" : "01012345678"</v>
      </c>
      <c r="O101" s="24" t="s">
        <v>456</v>
      </c>
    </row>
    <row r="102" spans="1:15" hidden="1">
      <c r="A102" s="15">
        <v>92</v>
      </c>
      <c r="B102" s="15" t="s">
        <v>210</v>
      </c>
      <c r="C102" s="33" t="str">
        <f>VLOOKUP($B102,API목록!$B$11:$C$39,2,0)</f>
        <v>안심번호등록</v>
      </c>
      <c r="D102" s="18">
        <v>3</v>
      </c>
      <c r="E102" s="31" t="s">
        <v>437</v>
      </c>
      <c r="F102" s="21" t="s">
        <v>229</v>
      </c>
      <c r="G102" s="40" t="s">
        <v>378</v>
      </c>
      <c r="H102" s="18" t="s">
        <v>374</v>
      </c>
      <c r="I102" s="18">
        <v>20</v>
      </c>
      <c r="J102" s="22" t="s">
        <v>95</v>
      </c>
      <c r="K102" s="22"/>
      <c r="L102" s="19"/>
      <c r="M102" s="40"/>
      <c r="N102" s="15" t="str">
        <f t="shared" si="1"/>
        <v xml:space="preserve">   ,"PhnNo" : "01098765432"</v>
      </c>
      <c r="O102" s="40" t="s">
        <v>458</v>
      </c>
    </row>
    <row r="103" spans="1:15" hidden="1">
      <c r="A103" s="15">
        <v>93</v>
      </c>
      <c r="B103" s="15" t="s">
        <v>210</v>
      </c>
      <c r="C103" s="33" t="str">
        <f>VLOOKUP($B103,API목록!$B$11:$C$39,2,0)</f>
        <v>안심번호등록</v>
      </c>
      <c r="D103" s="18">
        <v>4</v>
      </c>
      <c r="E103" s="32" t="s">
        <v>224</v>
      </c>
      <c r="F103" s="40" t="s">
        <v>88</v>
      </c>
      <c r="G103" s="40" t="s">
        <v>303</v>
      </c>
      <c r="H103" s="18" t="s">
        <v>374</v>
      </c>
      <c r="I103" s="18">
        <v>7</v>
      </c>
      <c r="J103" s="22" t="s">
        <v>95</v>
      </c>
      <c r="K103" s="22"/>
      <c r="L103" s="16" t="s">
        <v>93</v>
      </c>
      <c r="M103" s="40"/>
      <c r="N103" s="15" t="str">
        <f t="shared" si="1"/>
        <v xml:space="preserve">   ,"ProcRsltCd" : "009-000"</v>
      </c>
      <c r="O103" s="24" t="s">
        <v>490</v>
      </c>
    </row>
    <row r="104" spans="1:15" hidden="1">
      <c r="A104" s="15">
        <v>94</v>
      </c>
      <c r="B104" s="15" t="s">
        <v>210</v>
      </c>
      <c r="C104" s="33" t="str">
        <f>VLOOKUP($B104,API목록!$B$11:$C$39,2,0)</f>
        <v>안심번호등록</v>
      </c>
      <c r="D104" s="18">
        <v>5</v>
      </c>
      <c r="E104" s="32" t="s">
        <v>224</v>
      </c>
      <c r="F104" s="40" t="s">
        <v>431</v>
      </c>
      <c r="G104" s="40" t="s">
        <v>430</v>
      </c>
      <c r="H104" s="18" t="s">
        <v>1</v>
      </c>
      <c r="I104" s="18">
        <v>1</v>
      </c>
      <c r="J104" s="22" t="s">
        <v>95</v>
      </c>
      <c r="K104" s="22"/>
      <c r="L104" s="19"/>
      <c r="M104" s="24" t="s">
        <v>434</v>
      </c>
      <c r="N104" s="15" t="str">
        <f t="shared" si="1"/>
        <v xml:space="preserve">   ,"RsltMsgPopupYN" : "Y"</v>
      </c>
      <c r="O104" s="24" t="s">
        <v>453</v>
      </c>
    </row>
    <row r="105" spans="1:15" hidden="1">
      <c r="A105" s="15">
        <v>95</v>
      </c>
      <c r="B105" s="15" t="s">
        <v>210</v>
      </c>
      <c r="C105" s="33" t="str">
        <f>VLOOKUP($B105,API목록!$B$11:$C$39,2,0)</f>
        <v>안심번호등록</v>
      </c>
      <c r="D105" s="18">
        <v>6</v>
      </c>
      <c r="E105" s="32" t="s">
        <v>224</v>
      </c>
      <c r="F105" s="40" t="s">
        <v>427</v>
      </c>
      <c r="G105" s="40" t="s">
        <v>428</v>
      </c>
      <c r="H105" s="18" t="s">
        <v>374</v>
      </c>
      <c r="I105" s="18">
        <v>300</v>
      </c>
      <c r="J105" s="22" t="s">
        <v>225</v>
      </c>
      <c r="K105" s="22"/>
      <c r="L105" s="19"/>
      <c r="M105" s="40"/>
      <c r="N105" s="15" t="str">
        <f t="shared" si="1"/>
        <v xml:space="preserve">   ,"RsltMsg" : "결과메시지"   }
]}</v>
      </c>
      <c r="O105" s="24" t="s">
        <v>460</v>
      </c>
    </row>
    <row r="106" spans="1:15" hidden="1">
      <c r="A106" s="15">
        <v>96</v>
      </c>
      <c r="B106" s="15" t="s">
        <v>170</v>
      </c>
      <c r="C106" s="33" t="str">
        <f>VLOOKUP($B106,API목록!$B$11:$C$39,2,0)</f>
        <v>스미싱정밀진단</v>
      </c>
      <c r="D106" s="18">
        <v>1</v>
      </c>
      <c r="E106" s="31" t="s">
        <v>437</v>
      </c>
      <c r="F106" s="40" t="s">
        <v>98</v>
      </c>
      <c r="G106" s="40" t="s">
        <v>323</v>
      </c>
      <c r="H106" s="18" t="s">
        <v>1</v>
      </c>
      <c r="I106" s="18">
        <v>3</v>
      </c>
      <c r="J106" s="22" t="s">
        <v>95</v>
      </c>
      <c r="K106" s="22"/>
      <c r="L106" s="40" t="s">
        <v>323</v>
      </c>
      <c r="M106" s="24" t="s">
        <v>322</v>
      </c>
      <c r="N106" s="15" t="str">
        <f t="shared" si="1"/>
        <v>{"ApiPrecisionDiagnosis":[
   {"UseLangCd" : "KOR"</v>
      </c>
      <c r="O106" s="24" t="s">
        <v>450</v>
      </c>
    </row>
    <row r="107" spans="1:15" hidden="1">
      <c r="A107" s="15">
        <v>97</v>
      </c>
      <c r="B107" s="15" t="s">
        <v>170</v>
      </c>
      <c r="C107" s="33" t="str">
        <f>VLOOKUP($B107,API목록!$B$11:$C$39,2,0)</f>
        <v>스미싱정밀진단</v>
      </c>
      <c r="D107" s="18">
        <v>2</v>
      </c>
      <c r="E107" s="31" t="s">
        <v>437</v>
      </c>
      <c r="F107" s="37" t="s">
        <v>226</v>
      </c>
      <c r="G107" s="40" t="s">
        <v>373</v>
      </c>
      <c r="H107" s="18" t="s">
        <v>374</v>
      </c>
      <c r="I107" s="18">
        <v>20</v>
      </c>
      <c r="J107" s="22" t="s">
        <v>95</v>
      </c>
      <c r="K107" s="22"/>
      <c r="L107" s="19"/>
      <c r="M107" s="40"/>
      <c r="N107" s="15" t="str">
        <f t="shared" si="1"/>
        <v xml:space="preserve">   ,"UserPhnNo" : "01012345678"</v>
      </c>
      <c r="O107" s="24" t="s">
        <v>456</v>
      </c>
    </row>
    <row r="108" spans="1:15" hidden="1">
      <c r="A108" s="15">
        <v>98</v>
      </c>
      <c r="B108" s="15" t="s">
        <v>170</v>
      </c>
      <c r="C108" s="33" t="str">
        <f>VLOOKUP($B108,API목록!$B$11:$C$39,2,0)</f>
        <v>스미싱정밀진단</v>
      </c>
      <c r="D108" s="18">
        <v>3</v>
      </c>
      <c r="E108" s="31" t="s">
        <v>437</v>
      </c>
      <c r="F108" s="37" t="s">
        <v>229</v>
      </c>
      <c r="G108" s="40" t="s">
        <v>378</v>
      </c>
      <c r="H108" s="18" t="s">
        <v>374</v>
      </c>
      <c r="I108" s="18">
        <v>20</v>
      </c>
      <c r="J108" s="22" t="s">
        <v>95</v>
      </c>
      <c r="K108" s="22"/>
      <c r="L108" s="19"/>
      <c r="M108" s="40"/>
      <c r="N108" s="15" t="str">
        <f t="shared" si="1"/>
        <v xml:space="preserve">   ,"PhnNo" : "01098765432"</v>
      </c>
      <c r="O108" s="40" t="s">
        <v>458</v>
      </c>
    </row>
    <row r="109" spans="1:15" hidden="1">
      <c r="A109" s="15">
        <v>99</v>
      </c>
      <c r="B109" s="15" t="s">
        <v>170</v>
      </c>
      <c r="C109" s="33" t="str">
        <f>VLOOKUP($B109,API목록!$B$11:$C$39,2,0)</f>
        <v>스미싱정밀진단</v>
      </c>
      <c r="D109" s="18">
        <v>4</v>
      </c>
      <c r="E109" s="31" t="s">
        <v>437</v>
      </c>
      <c r="F109" s="37" t="s">
        <v>87</v>
      </c>
      <c r="G109" s="40" t="s">
        <v>293</v>
      </c>
      <c r="H109" s="18" t="s">
        <v>374</v>
      </c>
      <c r="I109" s="18">
        <v>3</v>
      </c>
      <c r="J109" s="22" t="s">
        <v>95</v>
      </c>
      <c r="K109" s="22"/>
      <c r="L109" s="40" t="s">
        <v>92</v>
      </c>
      <c r="M109" s="24" t="s">
        <v>320</v>
      </c>
      <c r="N109" s="15" t="str">
        <f t="shared" si="1"/>
        <v xml:space="preserve">   ,"MedPartCd" : "003"</v>
      </c>
      <c r="O109" s="24" t="s">
        <v>452</v>
      </c>
    </row>
    <row r="110" spans="1:15" hidden="1">
      <c r="A110" s="15">
        <v>100</v>
      </c>
      <c r="B110" s="15" t="s">
        <v>170</v>
      </c>
      <c r="C110" s="33" t="str">
        <f>VLOOKUP($B110,API목록!$B$11:$C$39,2,0)</f>
        <v>스미싱정밀진단</v>
      </c>
      <c r="D110" s="18">
        <v>5</v>
      </c>
      <c r="E110" s="31" t="s">
        <v>437</v>
      </c>
      <c r="F110" s="37" t="s">
        <v>230</v>
      </c>
      <c r="G110" s="40" t="s">
        <v>377</v>
      </c>
      <c r="H110" s="18" t="s">
        <v>374</v>
      </c>
      <c r="I110" s="18">
        <v>3000</v>
      </c>
      <c r="J110" s="22" t="s">
        <v>95</v>
      </c>
      <c r="K110" s="22"/>
      <c r="L110" s="19"/>
      <c r="M110" s="40"/>
      <c r="N110" s="15" t="str">
        <f t="shared" si="1"/>
        <v xml:space="preserve">   ,"Msg" : "메시지내용"</v>
      </c>
      <c r="O110" s="40" t="s">
        <v>461</v>
      </c>
    </row>
    <row r="111" spans="1:15" ht="17" hidden="1">
      <c r="A111" s="15">
        <v>101</v>
      </c>
      <c r="B111" s="15" t="s">
        <v>170</v>
      </c>
      <c r="C111" s="33" t="str">
        <f>VLOOKUP($B111,API목록!$B$11:$C$39,2,0)</f>
        <v>스미싱정밀진단</v>
      </c>
      <c r="D111" s="18">
        <v>6</v>
      </c>
      <c r="E111" s="31" t="s">
        <v>437</v>
      </c>
      <c r="F111" s="21" t="s">
        <v>231</v>
      </c>
      <c r="G111" s="40" t="s">
        <v>384</v>
      </c>
      <c r="H111" s="18" t="s">
        <v>374</v>
      </c>
      <c r="I111" s="18">
        <v>1000</v>
      </c>
      <c r="J111" s="22" t="s">
        <v>95</v>
      </c>
      <c r="K111" s="22"/>
      <c r="L111" s="19"/>
      <c r="M111" s="40"/>
      <c r="N111" s="15" t="str">
        <f t="shared" si="1"/>
        <v xml:space="preserve">   ,"MsgInURL" : "http://www.abc.co.kr"</v>
      </c>
      <c r="O111" s="45" t="s">
        <v>472</v>
      </c>
    </row>
    <row r="112" spans="1:15" hidden="1">
      <c r="A112" s="15">
        <v>102</v>
      </c>
      <c r="B112" s="15" t="s">
        <v>170</v>
      </c>
      <c r="C112" s="33" t="str">
        <f>VLOOKUP($B112,API목록!$B$11:$C$39,2,0)</f>
        <v>스미싱정밀진단</v>
      </c>
      <c r="D112" s="18">
        <v>7</v>
      </c>
      <c r="E112" s="32" t="s">
        <v>224</v>
      </c>
      <c r="F112" s="40" t="s">
        <v>88</v>
      </c>
      <c r="G112" s="40" t="s">
        <v>303</v>
      </c>
      <c r="H112" s="18" t="s">
        <v>374</v>
      </c>
      <c r="I112" s="18">
        <v>7</v>
      </c>
      <c r="J112" s="22" t="s">
        <v>95</v>
      </c>
      <c r="K112" s="22"/>
      <c r="L112" s="16" t="s">
        <v>93</v>
      </c>
      <c r="M112" s="40"/>
      <c r="N112" s="15" t="str">
        <f t="shared" si="1"/>
        <v xml:space="preserve">   ,"ProcRsltCd" : "010-000"</v>
      </c>
      <c r="O112" s="24" t="s">
        <v>491</v>
      </c>
    </row>
    <row r="113" spans="1:15" hidden="1">
      <c r="A113" s="15">
        <v>103</v>
      </c>
      <c r="B113" s="15" t="s">
        <v>170</v>
      </c>
      <c r="C113" s="33" t="str">
        <f>VLOOKUP($B113,API목록!$B$11:$C$39,2,0)</f>
        <v>스미싱정밀진단</v>
      </c>
      <c r="D113" s="18">
        <v>8</v>
      </c>
      <c r="E113" s="32" t="s">
        <v>224</v>
      </c>
      <c r="F113" s="40" t="s">
        <v>431</v>
      </c>
      <c r="G113" s="40" t="s">
        <v>430</v>
      </c>
      <c r="H113" s="18" t="s">
        <v>1</v>
      </c>
      <c r="I113" s="18">
        <v>1</v>
      </c>
      <c r="J113" s="22" t="s">
        <v>95</v>
      </c>
      <c r="K113" s="22"/>
      <c r="L113" s="19"/>
      <c r="M113" s="24" t="s">
        <v>434</v>
      </c>
      <c r="N113" s="15" t="str">
        <f t="shared" si="1"/>
        <v xml:space="preserve">   ,"RsltMsgPopupYN" : "Y"</v>
      </c>
      <c r="O113" s="24" t="s">
        <v>453</v>
      </c>
    </row>
    <row r="114" spans="1:15" hidden="1">
      <c r="A114" s="15">
        <v>104</v>
      </c>
      <c r="B114" s="15" t="s">
        <v>170</v>
      </c>
      <c r="C114" s="33" t="str">
        <f>VLOOKUP($B114,API목록!$B$11:$C$39,2,0)</f>
        <v>스미싱정밀진단</v>
      </c>
      <c r="D114" s="18">
        <v>9</v>
      </c>
      <c r="E114" s="32" t="s">
        <v>224</v>
      </c>
      <c r="F114" s="40" t="s">
        <v>427</v>
      </c>
      <c r="G114" s="40" t="s">
        <v>428</v>
      </c>
      <c r="H114" s="18" t="s">
        <v>374</v>
      </c>
      <c r="I114" s="18">
        <v>300</v>
      </c>
      <c r="J114" s="22" t="s">
        <v>225</v>
      </c>
      <c r="K114" s="22"/>
      <c r="L114" s="19"/>
      <c r="M114" s="40"/>
      <c r="N114" s="15" t="str">
        <f t="shared" si="1"/>
        <v xml:space="preserve">   ,"RsltMsg" : "결과메시지"</v>
      </c>
      <c r="O114" s="24" t="s">
        <v>460</v>
      </c>
    </row>
    <row r="115" spans="1:15" hidden="1">
      <c r="A115" s="15">
        <v>105</v>
      </c>
      <c r="B115" s="15" t="s">
        <v>170</v>
      </c>
      <c r="C115" s="33" t="str">
        <f>VLOOKUP($B115,API목록!$B$11:$C$39,2,0)</f>
        <v>스미싱정밀진단</v>
      </c>
      <c r="D115" s="18">
        <v>10</v>
      </c>
      <c r="E115" s="32" t="s">
        <v>224</v>
      </c>
      <c r="F115" s="15" t="s">
        <v>339</v>
      </c>
      <c r="G115" s="40" t="s">
        <v>340</v>
      </c>
      <c r="H115" s="18" t="s">
        <v>1</v>
      </c>
      <c r="I115" s="18">
        <v>3</v>
      </c>
      <c r="J115" s="22" t="s">
        <v>225</v>
      </c>
      <c r="K115" s="22"/>
      <c r="L115" s="40" t="s">
        <v>340</v>
      </c>
      <c r="M115" s="40"/>
      <c r="N115" s="15" t="str">
        <f t="shared" si="1"/>
        <v xml:space="preserve">   ,"SmsDiagRsltCd" : "002"   }
]}</v>
      </c>
      <c r="O115" s="40" t="s">
        <v>455</v>
      </c>
    </row>
    <row r="116" spans="1:15" hidden="1">
      <c r="A116" s="15">
        <v>106</v>
      </c>
      <c r="B116" s="15" t="s">
        <v>172</v>
      </c>
      <c r="C116" s="33" t="str">
        <f>VLOOKUP($B116,API목록!$B$11:$C$39,2,0)</f>
        <v>메인페이지조회</v>
      </c>
      <c r="D116" s="18">
        <v>1</v>
      </c>
      <c r="E116" s="31" t="s">
        <v>437</v>
      </c>
      <c r="F116" s="40" t="s">
        <v>98</v>
      </c>
      <c r="G116" s="40" t="s">
        <v>323</v>
      </c>
      <c r="H116" s="18" t="s">
        <v>1</v>
      </c>
      <c r="I116" s="18">
        <v>3</v>
      </c>
      <c r="J116" s="22" t="s">
        <v>95</v>
      </c>
      <c r="K116" s="22"/>
      <c r="L116" s="40" t="s">
        <v>323</v>
      </c>
      <c r="M116" s="24" t="s">
        <v>322</v>
      </c>
      <c r="N116" s="15" t="str">
        <f t="shared" si="1"/>
        <v>{"ApiMainPageInq":[
   {"UseLangCd" : "KOR"</v>
      </c>
      <c r="O116" s="24" t="s">
        <v>450</v>
      </c>
    </row>
    <row r="117" spans="1:15" hidden="1">
      <c r="A117" s="15">
        <v>107</v>
      </c>
      <c r="B117" s="15" t="s">
        <v>172</v>
      </c>
      <c r="C117" s="33" t="str">
        <f>VLOOKUP($B117,API목록!$B$11:$C$39,2,0)</f>
        <v>메인페이지조회</v>
      </c>
      <c r="D117" s="18">
        <v>2</v>
      </c>
      <c r="E117" s="31" t="s">
        <v>437</v>
      </c>
      <c r="F117" s="37" t="s">
        <v>226</v>
      </c>
      <c r="G117" s="40" t="s">
        <v>373</v>
      </c>
      <c r="H117" s="18" t="s">
        <v>374</v>
      </c>
      <c r="I117" s="18">
        <v>20</v>
      </c>
      <c r="J117" s="22" t="s">
        <v>95</v>
      </c>
      <c r="K117" s="22"/>
      <c r="L117" s="19"/>
      <c r="M117" s="40"/>
      <c r="N117" s="15" t="str">
        <f t="shared" si="1"/>
        <v xml:space="preserve">   ,"UserPhnNo" : "01012345678"</v>
      </c>
      <c r="O117" s="24" t="s">
        <v>456</v>
      </c>
    </row>
    <row r="118" spans="1:15" hidden="1">
      <c r="A118" s="15">
        <v>108</v>
      </c>
      <c r="B118" s="15" t="s">
        <v>172</v>
      </c>
      <c r="C118" s="33" t="str">
        <f>VLOOKUP($B118,API목록!$B$11:$C$39,2,0)</f>
        <v>메인페이지조회</v>
      </c>
      <c r="D118" s="18">
        <v>3</v>
      </c>
      <c r="E118" s="32" t="s">
        <v>224</v>
      </c>
      <c r="F118" s="40" t="s">
        <v>88</v>
      </c>
      <c r="G118" s="40" t="s">
        <v>303</v>
      </c>
      <c r="H118" s="18" t="s">
        <v>374</v>
      </c>
      <c r="I118" s="18">
        <v>7</v>
      </c>
      <c r="J118" s="22" t="s">
        <v>95</v>
      </c>
      <c r="K118" s="22"/>
      <c r="L118" s="16" t="s">
        <v>93</v>
      </c>
      <c r="M118" s="40"/>
      <c r="N118" s="15" t="str">
        <f t="shared" si="1"/>
        <v xml:space="preserve">   ,"ProcRsltCd" : "101-000"</v>
      </c>
      <c r="O118" s="24" t="s">
        <v>492</v>
      </c>
    </row>
    <row r="119" spans="1:15" hidden="1">
      <c r="A119" s="15">
        <v>109</v>
      </c>
      <c r="B119" s="15" t="s">
        <v>172</v>
      </c>
      <c r="C119" s="33" t="str">
        <f>VLOOKUP($B119,API목록!$B$11:$C$39,2,0)</f>
        <v>메인페이지조회</v>
      </c>
      <c r="D119" s="18">
        <v>4</v>
      </c>
      <c r="E119" s="32" t="s">
        <v>224</v>
      </c>
      <c r="F119" s="40" t="s">
        <v>431</v>
      </c>
      <c r="G119" s="40" t="s">
        <v>430</v>
      </c>
      <c r="H119" s="18" t="s">
        <v>1</v>
      </c>
      <c r="I119" s="18">
        <v>1</v>
      </c>
      <c r="J119" s="22" t="s">
        <v>95</v>
      </c>
      <c r="K119" s="22"/>
      <c r="L119" s="19"/>
      <c r="M119" s="24" t="s">
        <v>434</v>
      </c>
      <c r="N119" s="15" t="str">
        <f t="shared" si="1"/>
        <v xml:space="preserve">   ,"RsltMsgPopupYN" : "Y"</v>
      </c>
      <c r="O119" s="24" t="s">
        <v>453</v>
      </c>
    </row>
    <row r="120" spans="1:15" hidden="1">
      <c r="A120" s="15">
        <v>110</v>
      </c>
      <c r="B120" s="15" t="s">
        <v>172</v>
      </c>
      <c r="C120" s="33" t="str">
        <f>VLOOKUP($B120,API목록!$B$11:$C$39,2,0)</f>
        <v>메인페이지조회</v>
      </c>
      <c r="D120" s="18">
        <v>5</v>
      </c>
      <c r="E120" s="32" t="s">
        <v>224</v>
      </c>
      <c r="F120" s="40" t="s">
        <v>427</v>
      </c>
      <c r="G120" s="40" t="s">
        <v>428</v>
      </c>
      <c r="H120" s="18" t="s">
        <v>374</v>
      </c>
      <c r="I120" s="18">
        <v>300</v>
      </c>
      <c r="J120" s="22" t="s">
        <v>225</v>
      </c>
      <c r="K120" s="22"/>
      <c r="L120" s="19"/>
      <c r="M120" s="40"/>
      <c r="N120" s="15" t="str">
        <f t="shared" si="1"/>
        <v xml:space="preserve">   ,"RsltMsg" : "결과메시지"</v>
      </c>
      <c r="O120" s="24" t="s">
        <v>460</v>
      </c>
    </row>
    <row r="121" spans="1:15" hidden="1">
      <c r="A121" s="15">
        <v>111</v>
      </c>
      <c r="B121" s="15" t="s">
        <v>172</v>
      </c>
      <c r="C121" s="33" t="str">
        <f>VLOOKUP($B121,API목록!$B$11:$C$39,2,0)</f>
        <v>메인페이지조회</v>
      </c>
      <c r="D121" s="18">
        <v>6</v>
      </c>
      <c r="E121" s="32" t="s">
        <v>224</v>
      </c>
      <c r="F121" s="37" t="s">
        <v>227</v>
      </c>
      <c r="G121" s="40" t="s">
        <v>375</v>
      </c>
      <c r="H121" s="18" t="s">
        <v>374</v>
      </c>
      <c r="I121" s="18">
        <v>100</v>
      </c>
      <c r="J121" s="22" t="s">
        <v>95</v>
      </c>
      <c r="K121" s="22"/>
      <c r="L121" s="19"/>
      <c r="M121" s="40" t="s">
        <v>441</v>
      </c>
      <c r="N121" s="15" t="str">
        <f t="shared" si="1"/>
        <v xml:space="preserve">   ,"UserNm" : "홍길동"</v>
      </c>
      <c r="O121" s="24" t="s">
        <v>459</v>
      </c>
    </row>
    <row r="122" spans="1:15" hidden="1">
      <c r="A122" s="15">
        <v>112</v>
      </c>
      <c r="B122" s="15" t="s">
        <v>172</v>
      </c>
      <c r="C122" s="33" t="str">
        <f>VLOOKUP($B122,API목록!$B$11:$C$39,2,0)</f>
        <v>메인페이지조회</v>
      </c>
      <c r="D122" s="18">
        <v>7</v>
      </c>
      <c r="E122" s="32" t="s">
        <v>224</v>
      </c>
      <c r="F122" s="37" t="s">
        <v>243</v>
      </c>
      <c r="G122" s="40" t="s">
        <v>389</v>
      </c>
      <c r="H122" s="18" t="s">
        <v>381</v>
      </c>
      <c r="I122" s="18">
        <v>9</v>
      </c>
      <c r="J122" s="22" t="s">
        <v>95</v>
      </c>
      <c r="K122" s="22"/>
      <c r="L122" s="19"/>
      <c r="M122" s="40"/>
      <c r="N122" s="15" t="str">
        <f t="shared" si="1"/>
        <v xml:space="preserve">   ,"CurrPnt" : 999</v>
      </c>
      <c r="O122" s="40">
        <v>999</v>
      </c>
    </row>
    <row r="123" spans="1:15" hidden="1">
      <c r="A123" s="15">
        <v>113</v>
      </c>
      <c r="B123" s="15" t="s">
        <v>172</v>
      </c>
      <c r="C123" s="33" t="str">
        <f>VLOOKUP($B123,API목록!$B$11:$C$39,2,0)</f>
        <v>메인페이지조회</v>
      </c>
      <c r="D123" s="18">
        <v>8</v>
      </c>
      <c r="E123" s="32" t="s">
        <v>224</v>
      </c>
      <c r="F123" s="37" t="s">
        <v>244</v>
      </c>
      <c r="G123" s="40" t="s">
        <v>390</v>
      </c>
      <c r="H123" s="18" t="s">
        <v>381</v>
      </c>
      <c r="I123" s="18">
        <v>9</v>
      </c>
      <c r="J123" s="22" t="s">
        <v>95</v>
      </c>
      <c r="K123" s="22"/>
      <c r="L123" s="19"/>
      <c r="M123" s="40"/>
      <c r="N123" s="15" t="str">
        <f t="shared" si="1"/>
        <v xml:space="preserve">   ,"RptCnt" : 999</v>
      </c>
      <c r="O123" s="40">
        <v>999</v>
      </c>
    </row>
    <row r="124" spans="1:15" hidden="1">
      <c r="A124" s="15">
        <v>114</v>
      </c>
      <c r="B124" s="15" t="s">
        <v>172</v>
      </c>
      <c r="C124" s="33" t="str">
        <f>VLOOKUP($B124,API목록!$B$11:$C$39,2,0)</f>
        <v>메인페이지조회</v>
      </c>
      <c r="D124" s="18">
        <v>9</v>
      </c>
      <c r="E124" s="32" t="s">
        <v>224</v>
      </c>
      <c r="F124" s="37" t="s">
        <v>245</v>
      </c>
      <c r="G124" s="40" t="s">
        <v>391</v>
      </c>
      <c r="H124" s="18" t="s">
        <v>381</v>
      </c>
      <c r="I124" s="18">
        <v>9</v>
      </c>
      <c r="J124" s="22" t="s">
        <v>95</v>
      </c>
      <c r="K124" s="22"/>
      <c r="L124" s="19"/>
      <c r="M124" s="40"/>
      <c r="N124" s="15" t="str">
        <f t="shared" si="1"/>
        <v xml:space="preserve">   ,"AdvtChkCnt" : 999</v>
      </c>
      <c r="O124" s="40">
        <v>999</v>
      </c>
    </row>
    <row r="125" spans="1:15" hidden="1">
      <c r="A125" s="15">
        <v>115</v>
      </c>
      <c r="B125" s="15" t="s">
        <v>172</v>
      </c>
      <c r="C125" s="33" t="str">
        <f>VLOOKUP($B125,API목록!$B$11:$C$39,2,0)</f>
        <v>메인페이지조회</v>
      </c>
      <c r="D125" s="18">
        <v>10</v>
      </c>
      <c r="E125" s="32" t="s">
        <v>224</v>
      </c>
      <c r="F125" s="37" t="s">
        <v>246</v>
      </c>
      <c r="G125" s="40" t="s">
        <v>392</v>
      </c>
      <c r="H125" s="18" t="s">
        <v>381</v>
      </c>
      <c r="I125" s="18">
        <v>9</v>
      </c>
      <c r="J125" s="22" t="s">
        <v>95</v>
      </c>
      <c r="K125" s="22"/>
      <c r="L125" s="19"/>
      <c r="M125" s="40"/>
      <c r="N125" s="15" t="str">
        <f t="shared" si="1"/>
        <v xml:space="preserve">   ,"NtcChkCnt" : 999</v>
      </c>
      <c r="O125" s="40">
        <v>999</v>
      </c>
    </row>
    <row r="126" spans="1:15" hidden="1">
      <c r="A126" s="15">
        <v>116</v>
      </c>
      <c r="B126" s="15" t="s">
        <v>172</v>
      </c>
      <c r="C126" s="33" t="str">
        <f>VLOOKUP($B126,API목록!$B$11:$C$39,2,0)</f>
        <v>메인페이지조회</v>
      </c>
      <c r="D126" s="18">
        <v>11</v>
      </c>
      <c r="E126" s="32" t="s">
        <v>224</v>
      </c>
      <c r="F126" s="37" t="s">
        <v>247</v>
      </c>
      <c r="G126" s="40" t="s">
        <v>393</v>
      </c>
      <c r="H126" s="18" t="s">
        <v>381</v>
      </c>
      <c r="I126" s="18">
        <v>9</v>
      </c>
      <c r="J126" s="22" t="s">
        <v>95</v>
      </c>
      <c r="K126" s="22"/>
      <c r="L126" s="19"/>
      <c r="M126" s="40"/>
      <c r="N126" s="15" t="str">
        <f t="shared" si="1"/>
        <v xml:space="preserve">   ,"EvtChkCnt" : 999</v>
      </c>
      <c r="O126" s="40">
        <v>999</v>
      </c>
    </row>
    <row r="127" spans="1:15" hidden="1">
      <c r="A127" s="15">
        <v>117</v>
      </c>
      <c r="B127" s="15" t="s">
        <v>172</v>
      </c>
      <c r="C127" s="33" t="str">
        <f>VLOOKUP($B127,API목록!$B$11:$C$39,2,0)</f>
        <v>메인페이지조회</v>
      </c>
      <c r="D127" s="18">
        <v>12</v>
      </c>
      <c r="E127" s="32" t="s">
        <v>224</v>
      </c>
      <c r="F127" s="37" t="s">
        <v>248</v>
      </c>
      <c r="G127" s="40" t="s">
        <v>394</v>
      </c>
      <c r="H127" s="18" t="s">
        <v>381</v>
      </c>
      <c r="I127" s="18">
        <v>9</v>
      </c>
      <c r="J127" s="22" t="s">
        <v>95</v>
      </c>
      <c r="K127" s="22"/>
      <c r="L127" s="19"/>
      <c r="M127" s="40"/>
      <c r="N127" s="15" t="str">
        <f t="shared" si="1"/>
        <v xml:space="preserve">   ,"NewsChkCnt" : 999</v>
      </c>
      <c r="O127" s="40">
        <v>999</v>
      </c>
    </row>
    <row r="128" spans="1:15" hidden="1">
      <c r="A128" s="15">
        <v>118</v>
      </c>
      <c r="B128" s="15" t="s">
        <v>172</v>
      </c>
      <c r="C128" s="33" t="str">
        <f>VLOOKUP($B128,API목록!$B$11:$C$39,2,0)</f>
        <v>메인페이지조회</v>
      </c>
      <c r="D128" s="18">
        <v>13</v>
      </c>
      <c r="E128" s="32" t="s">
        <v>224</v>
      </c>
      <c r="F128" s="37" t="s">
        <v>249</v>
      </c>
      <c r="G128" s="40" t="s">
        <v>395</v>
      </c>
      <c r="H128" s="18" t="s">
        <v>381</v>
      </c>
      <c r="I128" s="18">
        <v>9</v>
      </c>
      <c r="J128" s="22" t="s">
        <v>95</v>
      </c>
      <c r="K128" s="22"/>
      <c r="L128" s="19"/>
      <c r="M128" s="40"/>
      <c r="N128" s="15" t="str">
        <f t="shared" si="1"/>
        <v xml:space="preserve">   ,"InqChkCnt" : 999</v>
      </c>
      <c r="O128" s="40">
        <v>999</v>
      </c>
    </row>
    <row r="129" spans="1:15" hidden="1">
      <c r="A129" s="15">
        <v>119</v>
      </c>
      <c r="B129" s="15" t="s">
        <v>172</v>
      </c>
      <c r="C129" s="33" t="str">
        <f>VLOOKUP($B129,API목록!$B$11:$C$39,2,0)</f>
        <v>메인페이지조회</v>
      </c>
      <c r="D129" s="18">
        <v>14</v>
      </c>
      <c r="E129" s="32" t="s">
        <v>224</v>
      </c>
      <c r="F129" s="21" t="s">
        <v>250</v>
      </c>
      <c r="G129" s="40" t="s">
        <v>396</v>
      </c>
      <c r="H129" s="18" t="s">
        <v>381</v>
      </c>
      <c r="I129" s="18">
        <v>9</v>
      </c>
      <c r="J129" s="22" t="s">
        <v>95</v>
      </c>
      <c r="K129" s="22"/>
      <c r="L129" s="19"/>
      <c r="M129" s="40"/>
      <c r="N129" s="15" t="str">
        <f t="shared" si="1"/>
        <v xml:space="preserve">   ,"EvtJoinCnt" : 999   }
]}</v>
      </c>
      <c r="O129" s="40">
        <v>999</v>
      </c>
    </row>
    <row r="130" spans="1:15" hidden="1">
      <c r="A130" s="15">
        <v>120</v>
      </c>
      <c r="B130" s="15" t="s">
        <v>174</v>
      </c>
      <c r="C130" s="33" t="str">
        <f>VLOOKUP($B130,API목록!$B$11:$C$39,2,0)</f>
        <v>나의신고이력조회</v>
      </c>
      <c r="D130" s="18">
        <v>1</v>
      </c>
      <c r="E130" s="31" t="s">
        <v>437</v>
      </c>
      <c r="F130" s="40" t="s">
        <v>98</v>
      </c>
      <c r="G130" s="40" t="s">
        <v>323</v>
      </c>
      <c r="H130" s="18" t="s">
        <v>1</v>
      </c>
      <c r="I130" s="18">
        <v>3</v>
      </c>
      <c r="J130" s="22" t="s">
        <v>95</v>
      </c>
      <c r="K130" s="22"/>
      <c r="L130" s="40" t="s">
        <v>323</v>
      </c>
      <c r="M130" s="24" t="s">
        <v>322</v>
      </c>
      <c r="N130" s="15" t="str">
        <f t="shared" si="1"/>
        <v>{"ApiReportHistoryInq":[
   {"UseLangCd" : "KOR"</v>
      </c>
      <c r="O130" s="24" t="s">
        <v>450</v>
      </c>
    </row>
    <row r="131" spans="1:15" hidden="1">
      <c r="A131" s="15">
        <v>121</v>
      </c>
      <c r="B131" s="15" t="s">
        <v>174</v>
      </c>
      <c r="C131" s="33" t="str">
        <f>VLOOKUP($B131,API목록!$B$11:$C$39,2,0)</f>
        <v>나의신고이력조회</v>
      </c>
      <c r="D131" s="18">
        <v>2</v>
      </c>
      <c r="E131" s="31" t="s">
        <v>437</v>
      </c>
      <c r="F131" s="40" t="s">
        <v>85</v>
      </c>
      <c r="G131" s="40" t="s">
        <v>373</v>
      </c>
      <c r="H131" s="18" t="s">
        <v>374</v>
      </c>
      <c r="I131" s="18">
        <v>20</v>
      </c>
      <c r="J131" s="22" t="s">
        <v>95</v>
      </c>
      <c r="K131" s="22"/>
      <c r="L131" s="40"/>
      <c r="M131" s="40"/>
      <c r="N131" s="15" t="str">
        <f t="shared" si="1"/>
        <v xml:space="preserve">   ,"UserPhnNo" : "01012345678"</v>
      </c>
      <c r="O131" s="24" t="s">
        <v>456</v>
      </c>
    </row>
    <row r="132" spans="1:15" hidden="1">
      <c r="A132" s="15">
        <v>122</v>
      </c>
      <c r="B132" s="15" t="s">
        <v>174</v>
      </c>
      <c r="C132" s="33" t="str">
        <f>VLOOKUP($B132,API목록!$B$11:$C$39,2,0)</f>
        <v>나의신고이력조회</v>
      </c>
      <c r="D132" s="18">
        <v>3</v>
      </c>
      <c r="E132" s="31" t="s">
        <v>437</v>
      </c>
      <c r="F132" s="37" t="s">
        <v>443</v>
      </c>
      <c r="G132" s="40" t="s">
        <v>444</v>
      </c>
      <c r="H132" s="18" t="s">
        <v>374</v>
      </c>
      <c r="I132" s="18">
        <v>100</v>
      </c>
      <c r="J132" s="22" t="s">
        <v>225</v>
      </c>
      <c r="K132" s="22"/>
      <c r="L132" s="19"/>
      <c r="M132" s="40" t="s">
        <v>447</v>
      </c>
      <c r="N132" s="15" t="str">
        <f t="shared" si="1"/>
        <v xml:space="preserve">   ,"SrchCond" : "010-1234"</v>
      </c>
      <c r="O132" s="40" t="s">
        <v>478</v>
      </c>
    </row>
    <row r="133" spans="1:15" hidden="1">
      <c r="A133" s="15">
        <v>123</v>
      </c>
      <c r="B133" s="15" t="s">
        <v>174</v>
      </c>
      <c r="C133" s="33" t="str">
        <f>VLOOKUP($B133,API목록!$B$11:$C$39,2,0)</f>
        <v>나의신고이력조회</v>
      </c>
      <c r="D133" s="18">
        <v>4</v>
      </c>
      <c r="E133" s="31" t="s">
        <v>437</v>
      </c>
      <c r="F133" s="21" t="s">
        <v>99</v>
      </c>
      <c r="G133" s="40" t="s">
        <v>97</v>
      </c>
      <c r="H133" s="18" t="s">
        <v>1</v>
      </c>
      <c r="I133" s="18">
        <v>3</v>
      </c>
      <c r="J133" s="22" t="s">
        <v>95</v>
      </c>
      <c r="K133" s="22"/>
      <c r="L133" s="40" t="s">
        <v>97</v>
      </c>
      <c r="M133" s="40"/>
      <c r="N133" s="15" t="str">
        <f t="shared" si="1"/>
        <v xml:space="preserve">   ,"PageReqPartCd" : "FWD"</v>
      </c>
      <c r="O133" s="40" t="s">
        <v>464</v>
      </c>
    </row>
    <row r="134" spans="1:15" hidden="1">
      <c r="A134" s="15">
        <v>124</v>
      </c>
      <c r="B134" s="15" t="s">
        <v>174</v>
      </c>
      <c r="C134" s="33" t="str">
        <f>VLOOKUP($B134,API목록!$B$11:$C$39,2,0)</f>
        <v>나의신고이력조회</v>
      </c>
      <c r="D134" s="18">
        <v>5</v>
      </c>
      <c r="E134" s="31" t="s">
        <v>437</v>
      </c>
      <c r="F134" s="21" t="s">
        <v>332</v>
      </c>
      <c r="G134" s="40" t="s">
        <v>333</v>
      </c>
      <c r="H134" s="18" t="s">
        <v>277</v>
      </c>
      <c r="I134" s="18">
        <v>9</v>
      </c>
      <c r="J134" s="22" t="s">
        <v>95</v>
      </c>
      <c r="K134" s="22"/>
      <c r="L134" s="39"/>
      <c r="M134" s="40"/>
      <c r="N134" s="15" t="str">
        <f t="shared" si="1"/>
        <v xml:space="preserve">   ,"BasePageCnt" : 1</v>
      </c>
      <c r="O134" s="40">
        <v>1</v>
      </c>
    </row>
    <row r="135" spans="1:15" hidden="1">
      <c r="A135" s="15">
        <v>125</v>
      </c>
      <c r="B135" s="15" t="s">
        <v>174</v>
      </c>
      <c r="C135" s="33" t="str">
        <f>VLOOKUP($B135,API목록!$B$11:$C$39,2,0)</f>
        <v>나의신고이력조회</v>
      </c>
      <c r="D135" s="18">
        <v>6</v>
      </c>
      <c r="E135" s="32" t="s">
        <v>224</v>
      </c>
      <c r="F135" s="40" t="s">
        <v>88</v>
      </c>
      <c r="G135" s="40" t="s">
        <v>303</v>
      </c>
      <c r="H135" s="18" t="s">
        <v>374</v>
      </c>
      <c r="I135" s="18">
        <v>7</v>
      </c>
      <c r="J135" s="22" t="s">
        <v>95</v>
      </c>
      <c r="K135" s="22"/>
      <c r="L135" s="16" t="s">
        <v>93</v>
      </c>
      <c r="M135" s="40"/>
      <c r="N135" s="15" t="str">
        <f t="shared" si="1"/>
        <v xml:space="preserve">   ,"ProcRsltCd" : "102-000"</v>
      </c>
      <c r="O135" s="24" t="s">
        <v>493</v>
      </c>
    </row>
    <row r="136" spans="1:15" hidden="1">
      <c r="A136" s="15">
        <v>126</v>
      </c>
      <c r="B136" s="15" t="s">
        <v>174</v>
      </c>
      <c r="C136" s="33" t="str">
        <f>VLOOKUP($B136,API목록!$B$11:$C$39,2,0)</f>
        <v>나의신고이력조회</v>
      </c>
      <c r="D136" s="18">
        <v>7</v>
      </c>
      <c r="E136" s="32" t="s">
        <v>224</v>
      </c>
      <c r="F136" s="40" t="s">
        <v>431</v>
      </c>
      <c r="G136" s="40" t="s">
        <v>430</v>
      </c>
      <c r="H136" s="18" t="s">
        <v>1</v>
      </c>
      <c r="I136" s="18">
        <v>1</v>
      </c>
      <c r="J136" s="22" t="s">
        <v>95</v>
      </c>
      <c r="K136" s="22"/>
      <c r="L136" s="19"/>
      <c r="M136" s="24" t="s">
        <v>434</v>
      </c>
      <c r="N136" s="15" t="str">
        <f t="shared" si="1"/>
        <v xml:space="preserve">   ,"RsltMsgPopupYN" : "Y"</v>
      </c>
      <c r="O136" s="24" t="s">
        <v>453</v>
      </c>
    </row>
    <row r="137" spans="1:15" hidden="1">
      <c r="A137" s="15">
        <v>127</v>
      </c>
      <c r="B137" s="15" t="s">
        <v>174</v>
      </c>
      <c r="C137" s="33" t="str">
        <f>VLOOKUP($B137,API목록!$B$11:$C$39,2,0)</f>
        <v>나의신고이력조회</v>
      </c>
      <c r="D137" s="18">
        <v>8</v>
      </c>
      <c r="E137" s="32" t="s">
        <v>224</v>
      </c>
      <c r="F137" s="40" t="s">
        <v>427</v>
      </c>
      <c r="G137" s="40" t="s">
        <v>428</v>
      </c>
      <c r="H137" s="18" t="s">
        <v>374</v>
      </c>
      <c r="I137" s="18">
        <v>300</v>
      </c>
      <c r="J137" s="22" t="s">
        <v>225</v>
      </c>
      <c r="K137" s="22"/>
      <c r="L137" s="40"/>
      <c r="M137" s="40"/>
      <c r="N137" s="15" t="str">
        <f t="shared" si="1"/>
        <v xml:space="preserve">   ,"RsltMsg" : "결과메시지"</v>
      </c>
      <c r="O137" s="24" t="s">
        <v>460</v>
      </c>
    </row>
    <row r="138" spans="1:15" hidden="1">
      <c r="A138" s="15">
        <v>128</v>
      </c>
      <c r="B138" s="15" t="s">
        <v>174</v>
      </c>
      <c r="C138" s="33" t="str">
        <f>VLOOKUP($B138,API목록!$B$11:$C$39,2,0)</f>
        <v>나의신고이력조회</v>
      </c>
      <c r="D138" s="18">
        <v>9</v>
      </c>
      <c r="E138" s="32" t="s">
        <v>224</v>
      </c>
      <c r="F138" s="40" t="s">
        <v>100</v>
      </c>
      <c r="G138" s="40" t="s">
        <v>330</v>
      </c>
      <c r="H138" s="18" t="s">
        <v>277</v>
      </c>
      <c r="I138" s="18">
        <v>9</v>
      </c>
      <c r="J138" s="22" t="s">
        <v>95</v>
      </c>
      <c r="K138" s="22"/>
      <c r="L138" s="40"/>
      <c r="M138" s="40" t="s">
        <v>106</v>
      </c>
      <c r="N138" s="15" t="str">
        <f t="shared" si="1"/>
        <v xml:space="preserve">   ,"TotCnt" : 999</v>
      </c>
      <c r="O138" s="40">
        <v>999</v>
      </c>
    </row>
    <row r="139" spans="1:15" hidden="1">
      <c r="A139" s="15">
        <v>129</v>
      </c>
      <c r="B139" s="15" t="s">
        <v>174</v>
      </c>
      <c r="C139" s="33" t="str">
        <f>VLOOKUP($B139,API목록!$B$11:$C$39,2,0)</f>
        <v>나의신고이력조회</v>
      </c>
      <c r="D139" s="18">
        <v>10</v>
      </c>
      <c r="E139" s="32" t="s">
        <v>224</v>
      </c>
      <c r="F139" s="40" t="s">
        <v>103</v>
      </c>
      <c r="G139" s="40" t="s">
        <v>331</v>
      </c>
      <c r="H139" s="18" t="s">
        <v>277</v>
      </c>
      <c r="I139" s="18">
        <v>9</v>
      </c>
      <c r="J139" s="22" t="s">
        <v>95</v>
      </c>
      <c r="K139" s="22"/>
      <c r="L139" s="40"/>
      <c r="M139" s="40" t="s">
        <v>107</v>
      </c>
      <c r="N139" s="15" t="str">
        <f t="shared" si="1"/>
        <v xml:space="preserve">   ,"TotPageCnt" : 13</v>
      </c>
      <c r="O139" s="40">
        <v>13</v>
      </c>
    </row>
    <row r="140" spans="1:15" hidden="1">
      <c r="A140" s="15">
        <v>130</v>
      </c>
      <c r="B140" s="15" t="s">
        <v>174</v>
      </c>
      <c r="C140" s="33" t="str">
        <f>VLOOKUP($B140,API목록!$B$11:$C$39,2,0)</f>
        <v>나의신고이력조회</v>
      </c>
      <c r="D140" s="18">
        <v>11</v>
      </c>
      <c r="E140" s="32" t="s">
        <v>224</v>
      </c>
      <c r="F140" s="40" t="s">
        <v>325</v>
      </c>
      <c r="G140" s="40" t="s">
        <v>335</v>
      </c>
      <c r="H140" s="18" t="s">
        <v>277</v>
      </c>
      <c r="I140" s="18">
        <v>9</v>
      </c>
      <c r="J140" s="22" t="s">
        <v>95</v>
      </c>
      <c r="K140" s="22"/>
      <c r="L140" s="40"/>
      <c r="M140" s="40" t="s">
        <v>108</v>
      </c>
      <c r="N140" s="15" t="str">
        <f t="shared" ref="N140:N203" si="2">IF(D140=1,"{"&amp;""""&amp;B140&amp;""""&amp;":["&amp;CHAR(10)&amp;"   {"&amp;""""&amp;G140&amp;""""&amp;" : "&amp;O140,"   ,"&amp;""""&amp;G140&amp;""""&amp;" : "&amp;O140)&amp;IF(D141=1,"   }"&amp;CHAR(10)&amp;"]}","")</f>
        <v xml:space="preserve">   ,"StaPageCnt" : 6</v>
      </c>
      <c r="O140" s="40">
        <v>6</v>
      </c>
    </row>
    <row r="141" spans="1:15" hidden="1">
      <c r="A141" s="15">
        <v>131</v>
      </c>
      <c r="B141" s="15" t="s">
        <v>174</v>
      </c>
      <c r="C141" s="33" t="str">
        <f>VLOOKUP($B141,API목록!$B$11:$C$39,2,0)</f>
        <v>나의신고이력조회</v>
      </c>
      <c r="D141" s="18">
        <v>12</v>
      </c>
      <c r="E141" s="32" t="s">
        <v>224</v>
      </c>
      <c r="F141" s="40" t="s">
        <v>101</v>
      </c>
      <c r="G141" s="40" t="s">
        <v>397</v>
      </c>
      <c r="H141" s="18" t="s">
        <v>381</v>
      </c>
      <c r="I141" s="18">
        <v>9</v>
      </c>
      <c r="J141" s="22" t="s">
        <v>95</v>
      </c>
      <c r="K141" s="22">
        <v>50</v>
      </c>
      <c r="L141" s="40"/>
      <c r="M141" s="40" t="s">
        <v>109</v>
      </c>
      <c r="N141" s="15" t="str">
        <f t="shared" si="2"/>
        <v xml:space="preserve">   ,"Seq" : 1</v>
      </c>
      <c r="O141" s="40">
        <v>1</v>
      </c>
    </row>
    <row r="142" spans="1:15" hidden="1">
      <c r="A142" s="15">
        <v>132</v>
      </c>
      <c r="B142" s="15" t="s">
        <v>174</v>
      </c>
      <c r="C142" s="33" t="str">
        <f>VLOOKUP($B142,API목록!$B$11:$C$39,2,0)</f>
        <v>나의신고이력조회</v>
      </c>
      <c r="D142" s="18">
        <v>13</v>
      </c>
      <c r="E142" s="32" t="s">
        <v>224</v>
      </c>
      <c r="F142" s="40" t="s">
        <v>104</v>
      </c>
      <c r="G142" s="40" t="s">
        <v>398</v>
      </c>
      <c r="H142" s="18" t="s">
        <v>374</v>
      </c>
      <c r="I142" s="18">
        <v>8</v>
      </c>
      <c r="J142" s="22" t="s">
        <v>95</v>
      </c>
      <c r="K142" s="22">
        <v>50</v>
      </c>
      <c r="L142" s="40"/>
      <c r="M142" s="40" t="s">
        <v>114</v>
      </c>
      <c r="N142" s="15" t="str">
        <f t="shared" si="2"/>
        <v xml:space="preserve">   ,"RcvDate" : "21/08/01"</v>
      </c>
      <c r="O142" s="41" t="s">
        <v>473</v>
      </c>
    </row>
    <row r="143" spans="1:15" hidden="1">
      <c r="A143" s="15">
        <v>133</v>
      </c>
      <c r="B143" s="15" t="s">
        <v>174</v>
      </c>
      <c r="C143" s="33" t="str">
        <f>VLOOKUP($B143,API목록!$B$11:$C$39,2,0)</f>
        <v>나의신고이력조회</v>
      </c>
      <c r="D143" s="18">
        <v>14</v>
      </c>
      <c r="E143" s="32" t="s">
        <v>224</v>
      </c>
      <c r="F143" s="40" t="s">
        <v>112</v>
      </c>
      <c r="G143" s="15" t="s">
        <v>113</v>
      </c>
      <c r="H143" s="18" t="s">
        <v>1</v>
      </c>
      <c r="I143" s="18">
        <v>5</v>
      </c>
      <c r="J143" s="22" t="s">
        <v>95</v>
      </c>
      <c r="K143" s="22">
        <v>50</v>
      </c>
      <c r="L143" s="40"/>
      <c r="M143" s="40" t="s">
        <v>115</v>
      </c>
      <c r="N143" s="15" t="str">
        <f t="shared" si="2"/>
        <v xml:space="preserve">   ,"RcvTime" : "12:00"</v>
      </c>
      <c r="O143" s="40" t="s">
        <v>479</v>
      </c>
    </row>
    <row r="144" spans="1:15" hidden="1">
      <c r="A144" s="15">
        <v>134</v>
      </c>
      <c r="B144" s="15" t="s">
        <v>174</v>
      </c>
      <c r="C144" s="33" t="str">
        <f>VLOOKUP($B144,API목록!$B$11:$C$39,2,0)</f>
        <v>나의신고이력조회</v>
      </c>
      <c r="D144" s="18">
        <v>15</v>
      </c>
      <c r="E144" s="32" t="s">
        <v>224</v>
      </c>
      <c r="F144" s="40" t="s">
        <v>86</v>
      </c>
      <c r="G144" s="40" t="s">
        <v>378</v>
      </c>
      <c r="H144" s="18" t="s">
        <v>374</v>
      </c>
      <c r="I144" s="18">
        <v>20</v>
      </c>
      <c r="J144" s="22" t="s">
        <v>95</v>
      </c>
      <c r="K144" s="22">
        <v>50</v>
      </c>
      <c r="L144" s="40"/>
      <c r="M144" s="40"/>
      <c r="N144" s="15" t="str">
        <f t="shared" si="2"/>
        <v xml:space="preserve">   ,"PhnNo" : "01098765432"</v>
      </c>
      <c r="O144" s="40" t="s">
        <v>458</v>
      </c>
    </row>
    <row r="145" spans="1:15" hidden="1">
      <c r="A145" s="15">
        <v>135</v>
      </c>
      <c r="B145" s="15" t="s">
        <v>174</v>
      </c>
      <c r="C145" s="33" t="str">
        <f>VLOOKUP($B145,API목록!$B$11:$C$39,2,0)</f>
        <v>나의신고이력조회</v>
      </c>
      <c r="D145" s="18">
        <v>16</v>
      </c>
      <c r="E145" s="32" t="s">
        <v>224</v>
      </c>
      <c r="F145" s="15" t="s">
        <v>116</v>
      </c>
      <c r="G145" s="40" t="s">
        <v>385</v>
      </c>
      <c r="H145" s="18" t="s">
        <v>374</v>
      </c>
      <c r="I145" s="18">
        <v>1</v>
      </c>
      <c r="J145" s="22" t="s">
        <v>95</v>
      </c>
      <c r="K145" s="22">
        <v>50</v>
      </c>
      <c r="L145" s="40"/>
      <c r="M145" s="24" t="s">
        <v>434</v>
      </c>
      <c r="N145" s="15" t="str">
        <f t="shared" si="2"/>
        <v xml:space="preserve">   ,"GoodYN" : "Y"</v>
      </c>
      <c r="O145" s="24" t="s">
        <v>453</v>
      </c>
    </row>
    <row r="146" spans="1:15" hidden="1">
      <c r="A146" s="15">
        <v>136</v>
      </c>
      <c r="B146" s="15" t="s">
        <v>174</v>
      </c>
      <c r="C146" s="33" t="str">
        <f>VLOOKUP($B146,API목록!$B$11:$C$39,2,0)</f>
        <v>나의신고이력조회</v>
      </c>
      <c r="D146" s="18">
        <v>17</v>
      </c>
      <c r="E146" s="32" t="s">
        <v>224</v>
      </c>
      <c r="F146" s="15" t="s">
        <v>117</v>
      </c>
      <c r="G146" s="40" t="s">
        <v>386</v>
      </c>
      <c r="H146" s="18" t="s">
        <v>374</v>
      </c>
      <c r="I146" s="18">
        <v>1</v>
      </c>
      <c r="J146" s="22" t="s">
        <v>95</v>
      </c>
      <c r="K146" s="22">
        <v>50</v>
      </c>
      <c r="L146" s="40"/>
      <c r="M146" s="24" t="s">
        <v>434</v>
      </c>
      <c r="N146" s="15" t="str">
        <f t="shared" si="2"/>
        <v xml:space="preserve">   ,"BlockYN" : "Y"</v>
      </c>
      <c r="O146" s="24" t="s">
        <v>453</v>
      </c>
    </row>
    <row r="147" spans="1:15" hidden="1">
      <c r="A147" s="15">
        <v>137</v>
      </c>
      <c r="B147" s="15" t="s">
        <v>174</v>
      </c>
      <c r="C147" s="33" t="str">
        <f>VLOOKUP($B147,API목록!$B$11:$C$39,2,0)</f>
        <v>나의신고이력조회</v>
      </c>
      <c r="D147" s="18">
        <v>18</v>
      </c>
      <c r="E147" s="32" t="s">
        <v>224</v>
      </c>
      <c r="F147" s="15" t="s">
        <v>118</v>
      </c>
      <c r="G147" s="40" t="s">
        <v>387</v>
      </c>
      <c r="H147" s="18" t="s">
        <v>374</v>
      </c>
      <c r="I147" s="18">
        <v>3</v>
      </c>
      <c r="J147" s="22" t="s">
        <v>225</v>
      </c>
      <c r="K147" s="22">
        <v>50</v>
      </c>
      <c r="L147" s="15" t="s">
        <v>105</v>
      </c>
      <c r="M147" s="40"/>
      <c r="N147" s="15" t="str">
        <f t="shared" si="2"/>
        <v xml:space="preserve">   ,"RptTpClsCd" : "008"</v>
      </c>
      <c r="O147" s="40" t="s">
        <v>477</v>
      </c>
    </row>
    <row r="148" spans="1:15" hidden="1">
      <c r="A148" s="15">
        <v>138</v>
      </c>
      <c r="B148" s="15" t="s">
        <v>174</v>
      </c>
      <c r="C148" s="33" t="str">
        <f>VLOOKUP($B148,API목록!$B$11:$C$39,2,0)</f>
        <v>나의신고이력조회</v>
      </c>
      <c r="D148" s="18">
        <v>19</v>
      </c>
      <c r="E148" s="32" t="s">
        <v>224</v>
      </c>
      <c r="F148" s="15" t="s">
        <v>119</v>
      </c>
      <c r="G148" s="15" t="s">
        <v>110</v>
      </c>
      <c r="H148" s="18" t="s">
        <v>1</v>
      </c>
      <c r="I148" s="18">
        <v>100</v>
      </c>
      <c r="J148" s="22" t="s">
        <v>225</v>
      </c>
      <c r="K148" s="22">
        <v>50</v>
      </c>
      <c r="L148" s="40"/>
      <c r="M148" s="40"/>
      <c r="N148" s="15" t="str">
        <f t="shared" si="2"/>
        <v xml:space="preserve">   ,"RptTpClsNm" : "주식/투자"</v>
      </c>
      <c r="O148" s="40" t="s">
        <v>476</v>
      </c>
    </row>
    <row r="149" spans="1:15" hidden="1">
      <c r="A149" s="15">
        <v>139</v>
      </c>
      <c r="B149" s="15" t="s">
        <v>174</v>
      </c>
      <c r="C149" s="33" t="str">
        <f>VLOOKUP($B149,API목록!$B$11:$C$39,2,0)</f>
        <v>나의신고이력조회</v>
      </c>
      <c r="D149" s="18">
        <v>20</v>
      </c>
      <c r="E149" s="32" t="s">
        <v>224</v>
      </c>
      <c r="F149" s="40" t="s">
        <v>442</v>
      </c>
      <c r="G149" s="40" t="s">
        <v>388</v>
      </c>
      <c r="H149" s="18" t="s">
        <v>374</v>
      </c>
      <c r="I149" s="18">
        <v>100</v>
      </c>
      <c r="J149" s="22" t="s">
        <v>372</v>
      </c>
      <c r="K149" s="22">
        <v>50</v>
      </c>
      <c r="L149" s="40"/>
      <c r="M149" s="40" t="s">
        <v>440</v>
      </c>
      <c r="N149" s="15" t="str">
        <f t="shared" si="2"/>
        <v xml:space="preserve">   ,"EtcTpInpDesc" : "기타유형입력내용"   }
]}</v>
      </c>
      <c r="O149" s="40" t="s">
        <v>465</v>
      </c>
    </row>
    <row r="150" spans="1:15" hidden="1">
      <c r="A150" s="15">
        <v>140</v>
      </c>
      <c r="B150" s="15" t="s">
        <v>176</v>
      </c>
      <c r="C150" s="33" t="str">
        <f>VLOOKUP($B150,API목록!$B$11:$C$39,2,0)</f>
        <v>나의포인트조회</v>
      </c>
      <c r="D150" s="18">
        <v>1</v>
      </c>
      <c r="E150" s="31" t="s">
        <v>437</v>
      </c>
      <c r="F150" s="40" t="s">
        <v>98</v>
      </c>
      <c r="G150" s="40" t="s">
        <v>323</v>
      </c>
      <c r="H150" s="18" t="s">
        <v>1</v>
      </c>
      <c r="I150" s="18">
        <v>3</v>
      </c>
      <c r="J150" s="22" t="s">
        <v>95</v>
      </c>
      <c r="K150" s="22"/>
      <c r="L150" s="40" t="s">
        <v>323</v>
      </c>
      <c r="M150" s="24" t="s">
        <v>322</v>
      </c>
      <c r="N150" s="15" t="str">
        <f t="shared" si="2"/>
        <v>{"ApiPointInq":[
   {"UseLangCd" : "KOR"</v>
      </c>
      <c r="O150" s="24" t="s">
        <v>450</v>
      </c>
    </row>
    <row r="151" spans="1:15" hidden="1">
      <c r="A151" s="15">
        <v>141</v>
      </c>
      <c r="B151" s="15" t="s">
        <v>176</v>
      </c>
      <c r="C151" s="33" t="str">
        <f>VLOOKUP($B151,API목록!$B$11:$C$39,2,0)</f>
        <v>나의포인트조회</v>
      </c>
      <c r="D151" s="18">
        <v>2</v>
      </c>
      <c r="E151" s="31" t="s">
        <v>437</v>
      </c>
      <c r="F151" s="37" t="s">
        <v>226</v>
      </c>
      <c r="G151" s="40" t="s">
        <v>373</v>
      </c>
      <c r="H151" s="18" t="s">
        <v>374</v>
      </c>
      <c r="I151" s="18">
        <v>20</v>
      </c>
      <c r="J151" s="22" t="s">
        <v>95</v>
      </c>
      <c r="K151" s="22"/>
      <c r="L151" s="19"/>
      <c r="M151" s="40"/>
      <c r="N151" s="15" t="str">
        <f t="shared" si="2"/>
        <v xml:space="preserve">   ,"UserPhnNo" : "01012345678"</v>
      </c>
      <c r="O151" s="24" t="s">
        <v>456</v>
      </c>
    </row>
    <row r="152" spans="1:15" hidden="1">
      <c r="A152" s="15">
        <v>142</v>
      </c>
      <c r="B152" s="15" t="s">
        <v>176</v>
      </c>
      <c r="C152" s="33" t="str">
        <f>VLOOKUP($B152,API목록!$B$11:$C$39,2,0)</f>
        <v>나의포인트조회</v>
      </c>
      <c r="D152" s="18">
        <v>3</v>
      </c>
      <c r="E152" s="31" t="s">
        <v>437</v>
      </c>
      <c r="F152" s="21" t="s">
        <v>99</v>
      </c>
      <c r="G152" s="40" t="s">
        <v>97</v>
      </c>
      <c r="H152" s="18" t="s">
        <v>1</v>
      </c>
      <c r="I152" s="18">
        <v>3</v>
      </c>
      <c r="J152" s="22" t="s">
        <v>95</v>
      </c>
      <c r="K152" s="22"/>
      <c r="L152" s="40" t="s">
        <v>97</v>
      </c>
      <c r="M152" s="40"/>
      <c r="N152" s="15" t="str">
        <f t="shared" si="2"/>
        <v xml:space="preserve">   ,"PageReqPartCd" : "FWD"</v>
      </c>
      <c r="O152" s="40" t="s">
        <v>464</v>
      </c>
    </row>
    <row r="153" spans="1:15" hidden="1">
      <c r="A153" s="15">
        <v>143</v>
      </c>
      <c r="B153" s="15" t="s">
        <v>176</v>
      </c>
      <c r="C153" s="33" t="str">
        <f>VLOOKUP($B153,API목록!$B$11:$C$39,2,0)</f>
        <v>나의포인트조회</v>
      </c>
      <c r="D153" s="18">
        <v>4</v>
      </c>
      <c r="E153" s="31" t="s">
        <v>437</v>
      </c>
      <c r="F153" s="21" t="s">
        <v>324</v>
      </c>
      <c r="G153" s="40" t="s">
        <v>333</v>
      </c>
      <c r="H153" s="18" t="s">
        <v>277</v>
      </c>
      <c r="I153" s="18">
        <v>9</v>
      </c>
      <c r="J153" s="22" t="s">
        <v>95</v>
      </c>
      <c r="K153" s="22"/>
      <c r="L153" s="19"/>
      <c r="M153" s="40"/>
      <c r="N153" s="15" t="str">
        <f t="shared" si="2"/>
        <v xml:space="preserve">   ,"BasePageCnt" : 1</v>
      </c>
      <c r="O153" s="40">
        <v>1</v>
      </c>
    </row>
    <row r="154" spans="1:15" hidden="1">
      <c r="A154" s="15">
        <v>144</v>
      </c>
      <c r="B154" s="15" t="s">
        <v>176</v>
      </c>
      <c r="C154" s="33" t="str">
        <f>VLOOKUP($B154,API목록!$B$11:$C$39,2,0)</f>
        <v>나의포인트조회</v>
      </c>
      <c r="D154" s="18">
        <v>5</v>
      </c>
      <c r="E154" s="32" t="s">
        <v>224</v>
      </c>
      <c r="F154" s="40" t="s">
        <v>88</v>
      </c>
      <c r="G154" s="40" t="s">
        <v>303</v>
      </c>
      <c r="H154" s="18" t="s">
        <v>374</v>
      </c>
      <c r="I154" s="18">
        <v>7</v>
      </c>
      <c r="J154" s="22" t="s">
        <v>95</v>
      </c>
      <c r="K154" s="22"/>
      <c r="L154" s="16" t="s">
        <v>93</v>
      </c>
      <c r="M154" s="40"/>
      <c r="N154" s="15" t="str">
        <f t="shared" si="2"/>
        <v xml:space="preserve">   ,"ProcRsltCd" : "103-000"</v>
      </c>
      <c r="O154" s="24" t="s">
        <v>494</v>
      </c>
    </row>
    <row r="155" spans="1:15" hidden="1">
      <c r="A155" s="15">
        <v>145</v>
      </c>
      <c r="B155" s="15" t="s">
        <v>176</v>
      </c>
      <c r="C155" s="33" t="str">
        <f>VLOOKUP($B155,API목록!$B$11:$C$39,2,0)</f>
        <v>나의포인트조회</v>
      </c>
      <c r="D155" s="18">
        <v>6</v>
      </c>
      <c r="E155" s="32" t="s">
        <v>224</v>
      </c>
      <c r="F155" s="40" t="s">
        <v>431</v>
      </c>
      <c r="G155" s="40" t="s">
        <v>430</v>
      </c>
      <c r="H155" s="18" t="s">
        <v>1</v>
      </c>
      <c r="I155" s="18">
        <v>1</v>
      </c>
      <c r="J155" s="22" t="s">
        <v>95</v>
      </c>
      <c r="K155" s="22"/>
      <c r="L155" s="19"/>
      <c r="M155" s="24" t="s">
        <v>434</v>
      </c>
      <c r="N155" s="15" t="str">
        <f t="shared" si="2"/>
        <v xml:space="preserve">   ,"RsltMsgPopupYN" : "Y"</v>
      </c>
      <c r="O155" s="24" t="s">
        <v>453</v>
      </c>
    </row>
    <row r="156" spans="1:15" hidden="1">
      <c r="A156" s="15">
        <v>146</v>
      </c>
      <c r="B156" s="15" t="s">
        <v>176</v>
      </c>
      <c r="C156" s="33" t="str">
        <f>VLOOKUP($B156,API목록!$B$11:$C$39,2,0)</f>
        <v>나의포인트조회</v>
      </c>
      <c r="D156" s="18">
        <v>7</v>
      </c>
      <c r="E156" s="32" t="s">
        <v>224</v>
      </c>
      <c r="F156" s="40" t="s">
        <v>427</v>
      </c>
      <c r="G156" s="40" t="s">
        <v>428</v>
      </c>
      <c r="H156" s="18" t="s">
        <v>374</v>
      </c>
      <c r="I156" s="18">
        <v>300</v>
      </c>
      <c r="J156" s="22" t="s">
        <v>225</v>
      </c>
      <c r="K156" s="22"/>
      <c r="L156" s="19"/>
      <c r="M156" s="40"/>
      <c r="N156" s="15" t="str">
        <f t="shared" si="2"/>
        <v xml:space="preserve">   ,"RsltMsg" : "결과메시지"</v>
      </c>
      <c r="O156" s="24" t="s">
        <v>460</v>
      </c>
    </row>
    <row r="157" spans="1:15" hidden="1">
      <c r="A157" s="15">
        <v>147</v>
      </c>
      <c r="B157" s="15" t="s">
        <v>176</v>
      </c>
      <c r="C157" s="33" t="str">
        <f>VLOOKUP($B157,API목록!$B$11:$C$39,2,0)</f>
        <v>나의포인트조회</v>
      </c>
      <c r="D157" s="18">
        <v>8</v>
      </c>
      <c r="E157" s="32" t="s">
        <v>224</v>
      </c>
      <c r="F157" s="37" t="s">
        <v>100</v>
      </c>
      <c r="G157" s="40" t="s">
        <v>330</v>
      </c>
      <c r="H157" s="18" t="s">
        <v>277</v>
      </c>
      <c r="I157" s="18">
        <v>9</v>
      </c>
      <c r="J157" s="22" t="s">
        <v>95</v>
      </c>
      <c r="K157" s="22"/>
      <c r="L157" s="19"/>
      <c r="M157" s="40"/>
      <c r="N157" s="15" t="str">
        <f t="shared" si="2"/>
        <v xml:space="preserve">   ,"TotCnt" : 999</v>
      </c>
      <c r="O157" s="40">
        <v>999</v>
      </c>
    </row>
    <row r="158" spans="1:15" hidden="1">
      <c r="A158" s="15">
        <v>148</v>
      </c>
      <c r="B158" s="15" t="s">
        <v>176</v>
      </c>
      <c r="C158" s="33" t="str">
        <f>VLOOKUP($B158,API목록!$B$11:$C$39,2,0)</f>
        <v>나의포인트조회</v>
      </c>
      <c r="D158" s="18">
        <v>9</v>
      </c>
      <c r="E158" s="32" t="s">
        <v>224</v>
      </c>
      <c r="F158" s="37" t="s">
        <v>326</v>
      </c>
      <c r="G158" s="40" t="s">
        <v>331</v>
      </c>
      <c r="H158" s="18" t="s">
        <v>277</v>
      </c>
      <c r="I158" s="18">
        <v>9</v>
      </c>
      <c r="J158" s="22" t="s">
        <v>95</v>
      </c>
      <c r="K158" s="22"/>
      <c r="L158" s="19"/>
      <c r="M158" s="40"/>
      <c r="N158" s="15" t="str">
        <f t="shared" si="2"/>
        <v xml:space="preserve">   ,"TotPageCnt" : 13</v>
      </c>
      <c r="O158" s="40">
        <v>13</v>
      </c>
    </row>
    <row r="159" spans="1:15" hidden="1">
      <c r="A159" s="15">
        <v>149</v>
      </c>
      <c r="B159" s="15" t="s">
        <v>176</v>
      </c>
      <c r="C159" s="33" t="str">
        <f>VLOOKUP($B159,API목록!$B$11:$C$39,2,0)</f>
        <v>나의포인트조회</v>
      </c>
      <c r="D159" s="18">
        <v>10</v>
      </c>
      <c r="E159" s="32" t="s">
        <v>224</v>
      </c>
      <c r="F159" s="37" t="s">
        <v>325</v>
      </c>
      <c r="G159" s="40" t="s">
        <v>335</v>
      </c>
      <c r="H159" s="18" t="s">
        <v>277</v>
      </c>
      <c r="I159" s="18">
        <v>9</v>
      </c>
      <c r="J159" s="22" t="s">
        <v>95</v>
      </c>
      <c r="K159" s="22"/>
      <c r="L159" s="19"/>
      <c r="M159" s="40"/>
      <c r="N159" s="15" t="str">
        <f t="shared" si="2"/>
        <v xml:space="preserve">   ,"StaPageCnt" : 6</v>
      </c>
      <c r="O159" s="40">
        <v>6</v>
      </c>
    </row>
    <row r="160" spans="1:15" hidden="1">
      <c r="A160" s="15">
        <v>150</v>
      </c>
      <c r="B160" s="15" t="s">
        <v>176</v>
      </c>
      <c r="C160" s="33" t="str">
        <f>VLOOKUP($B160,API목록!$B$11:$C$39,2,0)</f>
        <v>나의포인트조회</v>
      </c>
      <c r="D160" s="18">
        <v>11</v>
      </c>
      <c r="E160" s="32" t="s">
        <v>224</v>
      </c>
      <c r="F160" s="37" t="s">
        <v>243</v>
      </c>
      <c r="G160" s="40" t="s">
        <v>389</v>
      </c>
      <c r="H160" s="18" t="s">
        <v>381</v>
      </c>
      <c r="I160" s="18">
        <v>9</v>
      </c>
      <c r="J160" s="22" t="s">
        <v>95</v>
      </c>
      <c r="K160" s="22"/>
      <c r="L160" s="19"/>
      <c r="M160" s="40"/>
      <c r="N160" s="15" t="str">
        <f t="shared" si="2"/>
        <v xml:space="preserve">   ,"CurrPnt" : 999</v>
      </c>
      <c r="O160" s="40">
        <v>999</v>
      </c>
    </row>
    <row r="161" spans="1:15" hidden="1">
      <c r="A161" s="15">
        <v>151</v>
      </c>
      <c r="B161" s="15" t="s">
        <v>176</v>
      </c>
      <c r="C161" s="33" t="str">
        <f>VLOOKUP($B161,API목록!$B$11:$C$39,2,0)</f>
        <v>나의포인트조회</v>
      </c>
      <c r="D161" s="18">
        <v>12</v>
      </c>
      <c r="E161" s="32" t="s">
        <v>224</v>
      </c>
      <c r="F161" s="37" t="s">
        <v>101</v>
      </c>
      <c r="G161" s="40" t="s">
        <v>397</v>
      </c>
      <c r="H161" s="18" t="s">
        <v>381</v>
      </c>
      <c r="I161" s="18">
        <v>9</v>
      </c>
      <c r="J161" s="22" t="s">
        <v>95</v>
      </c>
      <c r="K161" s="22">
        <v>50</v>
      </c>
      <c r="L161" s="19"/>
      <c r="M161" s="40"/>
      <c r="N161" s="15" t="str">
        <f t="shared" si="2"/>
        <v xml:space="preserve">   ,"Seq" : 1</v>
      </c>
      <c r="O161" s="40">
        <v>1</v>
      </c>
    </row>
    <row r="162" spans="1:15" hidden="1">
      <c r="A162" s="15">
        <v>152</v>
      </c>
      <c r="B162" s="15" t="s">
        <v>176</v>
      </c>
      <c r="C162" s="33" t="str">
        <f>VLOOKUP($B162,API목록!$B$11:$C$39,2,0)</f>
        <v>나의포인트조회</v>
      </c>
      <c r="D162" s="18">
        <v>13</v>
      </c>
      <c r="E162" s="32" t="s">
        <v>224</v>
      </c>
      <c r="F162" s="37" t="s">
        <v>251</v>
      </c>
      <c r="G162" s="40" t="s">
        <v>399</v>
      </c>
      <c r="H162" s="18" t="s">
        <v>374</v>
      </c>
      <c r="I162" s="18">
        <v>8</v>
      </c>
      <c r="J162" s="22" t="s">
        <v>95</v>
      </c>
      <c r="K162" s="22">
        <v>50</v>
      </c>
      <c r="L162" s="19"/>
      <c r="M162" s="40"/>
      <c r="N162" s="15" t="str">
        <f t="shared" si="2"/>
        <v xml:space="preserve">   ,"PntAdjDate" : "21/08/01"</v>
      </c>
      <c r="O162" s="41" t="s">
        <v>473</v>
      </c>
    </row>
    <row r="163" spans="1:15" hidden="1">
      <c r="A163" s="15">
        <v>153</v>
      </c>
      <c r="B163" s="15" t="s">
        <v>176</v>
      </c>
      <c r="C163" s="33" t="str">
        <f>VLOOKUP($B163,API목록!$B$11:$C$39,2,0)</f>
        <v>나의포인트조회</v>
      </c>
      <c r="D163" s="18">
        <v>14</v>
      </c>
      <c r="E163" s="32" t="s">
        <v>224</v>
      </c>
      <c r="F163" s="37" t="s">
        <v>252</v>
      </c>
      <c r="G163" s="40" t="s">
        <v>341</v>
      </c>
      <c r="H163" s="18" t="s">
        <v>1</v>
      </c>
      <c r="I163" s="18">
        <v>100</v>
      </c>
      <c r="J163" s="22" t="s">
        <v>95</v>
      </c>
      <c r="K163" s="22">
        <v>50</v>
      </c>
      <c r="L163" s="19"/>
      <c r="M163" s="40"/>
      <c r="N163" s="15" t="str">
        <f t="shared" si="2"/>
        <v xml:space="preserve">   ,"PntAdjRsnNm" : "포인트가감사유명"</v>
      </c>
      <c r="O163" s="40" t="s">
        <v>480</v>
      </c>
    </row>
    <row r="164" spans="1:15" hidden="1">
      <c r="A164" s="15">
        <v>154</v>
      </c>
      <c r="B164" s="15" t="s">
        <v>176</v>
      </c>
      <c r="C164" s="33" t="str">
        <f>VLOOKUP($B164,API목록!$B$11:$C$39,2,0)</f>
        <v>나의포인트조회</v>
      </c>
      <c r="D164" s="18">
        <v>15</v>
      </c>
      <c r="E164" s="32" t="s">
        <v>224</v>
      </c>
      <c r="F164" s="37" t="s">
        <v>253</v>
      </c>
      <c r="G164" s="40" t="s">
        <v>400</v>
      </c>
      <c r="H164" s="18" t="s">
        <v>381</v>
      </c>
      <c r="I164" s="18">
        <v>9</v>
      </c>
      <c r="J164" s="22" t="s">
        <v>95</v>
      </c>
      <c r="K164" s="22">
        <v>50</v>
      </c>
      <c r="L164" s="19"/>
      <c r="M164" s="40"/>
      <c r="N164" s="15" t="str">
        <f t="shared" si="2"/>
        <v xml:space="preserve">   ,"Pnt" : 5</v>
      </c>
      <c r="O164" s="40">
        <v>5</v>
      </c>
    </row>
    <row r="165" spans="1:15" hidden="1">
      <c r="A165" s="15">
        <v>155</v>
      </c>
      <c r="B165" s="15" t="s">
        <v>176</v>
      </c>
      <c r="C165" s="33" t="str">
        <f>VLOOKUP($B165,API목록!$B$11:$C$39,2,0)</f>
        <v>나의포인트조회</v>
      </c>
      <c r="D165" s="18">
        <v>16</v>
      </c>
      <c r="E165" s="32" t="s">
        <v>224</v>
      </c>
      <c r="F165" s="21" t="s">
        <v>254</v>
      </c>
      <c r="G165" s="40" t="s">
        <v>401</v>
      </c>
      <c r="H165" s="18" t="s">
        <v>374</v>
      </c>
      <c r="I165" s="18">
        <v>3000</v>
      </c>
      <c r="J165" s="22" t="s">
        <v>225</v>
      </c>
      <c r="K165" s="22">
        <v>50</v>
      </c>
      <c r="L165" s="19"/>
      <c r="M165" s="40"/>
      <c r="N165" s="15" t="str">
        <f t="shared" si="2"/>
        <v xml:space="preserve">   ,"PntAdjRsnDesc" : "포인트가감사유내용"   }
]}</v>
      </c>
      <c r="O165" s="40" t="s">
        <v>466</v>
      </c>
    </row>
    <row r="166" spans="1:15" hidden="1">
      <c r="A166" s="15">
        <v>156</v>
      </c>
      <c r="B166" s="15" t="s">
        <v>178</v>
      </c>
      <c r="C166" s="33" t="str">
        <f>VLOOKUP($B166,API목록!$B$11:$C$39,2,0)</f>
        <v>일반공지목록조회</v>
      </c>
      <c r="D166" s="18">
        <v>1</v>
      </c>
      <c r="E166" s="31" t="s">
        <v>437</v>
      </c>
      <c r="F166" s="40" t="s">
        <v>98</v>
      </c>
      <c r="G166" s="40" t="s">
        <v>323</v>
      </c>
      <c r="H166" s="18" t="s">
        <v>1</v>
      </c>
      <c r="I166" s="18">
        <v>3</v>
      </c>
      <c r="J166" s="22" t="s">
        <v>95</v>
      </c>
      <c r="K166" s="22"/>
      <c r="L166" s="40" t="s">
        <v>323</v>
      </c>
      <c r="M166" s="24" t="s">
        <v>322</v>
      </c>
      <c r="N166" s="15" t="str">
        <f t="shared" si="2"/>
        <v>{"ApiGeneralNoticeInq":[
   {"UseLangCd" : "KOR"</v>
      </c>
      <c r="O166" s="24" t="s">
        <v>450</v>
      </c>
    </row>
    <row r="167" spans="1:15" hidden="1">
      <c r="A167" s="15">
        <v>157</v>
      </c>
      <c r="B167" s="15" t="s">
        <v>178</v>
      </c>
      <c r="C167" s="33" t="str">
        <f>VLOOKUP($B167,API목록!$B$11:$C$39,2,0)</f>
        <v>일반공지목록조회</v>
      </c>
      <c r="D167" s="18">
        <v>2</v>
      </c>
      <c r="E167" s="31" t="s">
        <v>437</v>
      </c>
      <c r="F167" s="37" t="s">
        <v>226</v>
      </c>
      <c r="G167" s="40" t="s">
        <v>373</v>
      </c>
      <c r="H167" s="18" t="s">
        <v>374</v>
      </c>
      <c r="I167" s="18">
        <v>20</v>
      </c>
      <c r="J167" s="22" t="s">
        <v>95</v>
      </c>
      <c r="K167" s="22"/>
      <c r="L167" s="19"/>
      <c r="M167" s="40"/>
      <c r="N167" s="15" t="str">
        <f t="shared" si="2"/>
        <v xml:space="preserve">   ,"UserPhnNo" : "01012345678"</v>
      </c>
      <c r="O167" s="24" t="s">
        <v>456</v>
      </c>
    </row>
    <row r="168" spans="1:15" hidden="1">
      <c r="A168" s="15">
        <v>158</v>
      </c>
      <c r="B168" s="15" t="s">
        <v>178</v>
      </c>
      <c r="C168" s="33" t="str">
        <f>VLOOKUP($B168,API목록!$B$11:$C$39,2,0)</f>
        <v>일반공지목록조회</v>
      </c>
      <c r="D168" s="18">
        <v>3</v>
      </c>
      <c r="E168" s="31" t="s">
        <v>437</v>
      </c>
      <c r="F168" s="21" t="s">
        <v>99</v>
      </c>
      <c r="G168" s="40" t="s">
        <v>97</v>
      </c>
      <c r="H168" s="18" t="s">
        <v>1</v>
      </c>
      <c r="I168" s="18">
        <v>3</v>
      </c>
      <c r="J168" s="22" t="s">
        <v>95</v>
      </c>
      <c r="K168" s="22"/>
      <c r="L168" s="40" t="s">
        <v>97</v>
      </c>
      <c r="M168" s="40"/>
      <c r="N168" s="15" t="str">
        <f t="shared" si="2"/>
        <v xml:space="preserve">   ,"PageReqPartCd" : "FWD"</v>
      </c>
      <c r="O168" s="40" t="s">
        <v>464</v>
      </c>
    </row>
    <row r="169" spans="1:15" hidden="1">
      <c r="A169" s="15">
        <v>159</v>
      </c>
      <c r="B169" s="15" t="s">
        <v>178</v>
      </c>
      <c r="C169" s="33" t="str">
        <f>VLOOKUP($B169,API목록!$B$11:$C$39,2,0)</f>
        <v>일반공지목록조회</v>
      </c>
      <c r="D169" s="18">
        <v>4</v>
      </c>
      <c r="E169" s="31" t="s">
        <v>437</v>
      </c>
      <c r="F169" s="21" t="s">
        <v>324</v>
      </c>
      <c r="G169" s="40" t="s">
        <v>333</v>
      </c>
      <c r="H169" s="18" t="s">
        <v>277</v>
      </c>
      <c r="I169" s="18">
        <v>9</v>
      </c>
      <c r="J169" s="22" t="s">
        <v>95</v>
      </c>
      <c r="K169" s="22"/>
      <c r="L169" s="19"/>
      <c r="M169" s="40"/>
      <c r="N169" s="15" t="str">
        <f t="shared" si="2"/>
        <v xml:space="preserve">   ,"BasePageCnt" : 1</v>
      </c>
      <c r="O169" s="40">
        <v>1</v>
      </c>
    </row>
    <row r="170" spans="1:15" hidden="1">
      <c r="A170" s="15">
        <v>160</v>
      </c>
      <c r="B170" s="15" t="s">
        <v>178</v>
      </c>
      <c r="C170" s="33" t="str">
        <f>VLOOKUP($B170,API목록!$B$11:$C$39,2,0)</f>
        <v>일반공지목록조회</v>
      </c>
      <c r="D170" s="18">
        <v>5</v>
      </c>
      <c r="E170" s="32" t="s">
        <v>224</v>
      </c>
      <c r="F170" s="40" t="s">
        <v>88</v>
      </c>
      <c r="G170" s="40" t="s">
        <v>303</v>
      </c>
      <c r="H170" s="18" t="s">
        <v>374</v>
      </c>
      <c r="I170" s="18">
        <v>7</v>
      </c>
      <c r="J170" s="22" t="s">
        <v>95</v>
      </c>
      <c r="K170" s="22"/>
      <c r="L170" s="16" t="s">
        <v>93</v>
      </c>
      <c r="M170" s="40"/>
      <c r="N170" s="15" t="str">
        <f t="shared" si="2"/>
        <v xml:space="preserve">   ,"ProcRsltCd" : "104-000"</v>
      </c>
      <c r="O170" s="24" t="s">
        <v>495</v>
      </c>
    </row>
    <row r="171" spans="1:15" hidden="1">
      <c r="A171" s="15">
        <v>161</v>
      </c>
      <c r="B171" s="15" t="s">
        <v>178</v>
      </c>
      <c r="C171" s="33" t="str">
        <f>VLOOKUP($B171,API목록!$B$11:$C$39,2,0)</f>
        <v>일반공지목록조회</v>
      </c>
      <c r="D171" s="18">
        <v>6</v>
      </c>
      <c r="E171" s="32" t="s">
        <v>224</v>
      </c>
      <c r="F171" s="40" t="s">
        <v>431</v>
      </c>
      <c r="G171" s="40" t="s">
        <v>430</v>
      </c>
      <c r="H171" s="18" t="s">
        <v>1</v>
      </c>
      <c r="I171" s="18">
        <v>1</v>
      </c>
      <c r="J171" s="22" t="s">
        <v>95</v>
      </c>
      <c r="K171" s="22"/>
      <c r="L171" s="19"/>
      <c r="M171" s="24" t="s">
        <v>434</v>
      </c>
      <c r="N171" s="15" t="str">
        <f t="shared" si="2"/>
        <v xml:space="preserve">   ,"RsltMsgPopupYN" : "Y"</v>
      </c>
      <c r="O171" s="24" t="s">
        <v>453</v>
      </c>
    </row>
    <row r="172" spans="1:15" hidden="1">
      <c r="A172" s="15">
        <v>162</v>
      </c>
      <c r="B172" s="15" t="s">
        <v>178</v>
      </c>
      <c r="C172" s="33" t="str">
        <f>VLOOKUP($B172,API목록!$B$11:$C$39,2,0)</f>
        <v>일반공지목록조회</v>
      </c>
      <c r="D172" s="18">
        <v>7</v>
      </c>
      <c r="E172" s="32" t="s">
        <v>224</v>
      </c>
      <c r="F172" s="40" t="s">
        <v>427</v>
      </c>
      <c r="G172" s="40" t="s">
        <v>428</v>
      </c>
      <c r="H172" s="18" t="s">
        <v>374</v>
      </c>
      <c r="I172" s="18">
        <v>300</v>
      </c>
      <c r="J172" s="22" t="s">
        <v>225</v>
      </c>
      <c r="K172" s="22"/>
      <c r="L172" s="19"/>
      <c r="M172" s="40"/>
      <c r="N172" s="15" t="str">
        <f t="shared" si="2"/>
        <v xml:space="preserve">   ,"RsltMsg" : "결과메시지"</v>
      </c>
      <c r="O172" s="24" t="s">
        <v>460</v>
      </c>
    </row>
    <row r="173" spans="1:15" hidden="1">
      <c r="A173" s="15">
        <v>163</v>
      </c>
      <c r="B173" s="15" t="s">
        <v>178</v>
      </c>
      <c r="C173" s="33" t="str">
        <f>VLOOKUP($B173,API목록!$B$11:$C$39,2,0)</f>
        <v>일반공지목록조회</v>
      </c>
      <c r="D173" s="18">
        <v>8</v>
      </c>
      <c r="E173" s="32" t="s">
        <v>224</v>
      </c>
      <c r="F173" s="37" t="s">
        <v>100</v>
      </c>
      <c r="G173" s="40" t="s">
        <v>330</v>
      </c>
      <c r="H173" s="18" t="s">
        <v>277</v>
      </c>
      <c r="I173" s="18">
        <v>9</v>
      </c>
      <c r="J173" s="22" t="s">
        <v>95</v>
      </c>
      <c r="K173" s="22"/>
      <c r="L173" s="19"/>
      <c r="M173" s="40"/>
      <c r="N173" s="15" t="str">
        <f t="shared" si="2"/>
        <v xml:space="preserve">   ,"TotCnt" : 999</v>
      </c>
      <c r="O173" s="40">
        <v>999</v>
      </c>
    </row>
    <row r="174" spans="1:15" hidden="1">
      <c r="A174" s="15">
        <v>164</v>
      </c>
      <c r="B174" s="15" t="s">
        <v>178</v>
      </c>
      <c r="C174" s="33" t="str">
        <f>VLOOKUP($B174,API목록!$B$11:$C$39,2,0)</f>
        <v>일반공지목록조회</v>
      </c>
      <c r="D174" s="18">
        <v>9</v>
      </c>
      <c r="E174" s="32" t="s">
        <v>224</v>
      </c>
      <c r="F174" s="37" t="s">
        <v>326</v>
      </c>
      <c r="G174" s="40" t="s">
        <v>331</v>
      </c>
      <c r="H174" s="18" t="s">
        <v>277</v>
      </c>
      <c r="I174" s="18">
        <v>9</v>
      </c>
      <c r="J174" s="22" t="s">
        <v>95</v>
      </c>
      <c r="K174" s="22"/>
      <c r="L174" s="19"/>
      <c r="M174" s="40"/>
      <c r="N174" s="15" t="str">
        <f t="shared" si="2"/>
        <v xml:space="preserve">   ,"TotPageCnt" : 13</v>
      </c>
      <c r="O174" s="40">
        <v>13</v>
      </c>
    </row>
    <row r="175" spans="1:15" hidden="1">
      <c r="A175" s="15">
        <v>165</v>
      </c>
      <c r="B175" s="15" t="s">
        <v>178</v>
      </c>
      <c r="C175" s="33" t="str">
        <f>VLOOKUP($B175,API목록!$B$11:$C$39,2,0)</f>
        <v>일반공지목록조회</v>
      </c>
      <c r="D175" s="18">
        <v>10</v>
      </c>
      <c r="E175" s="32" t="s">
        <v>224</v>
      </c>
      <c r="F175" s="37" t="s">
        <v>325</v>
      </c>
      <c r="G175" s="40" t="s">
        <v>335</v>
      </c>
      <c r="H175" s="18" t="s">
        <v>277</v>
      </c>
      <c r="I175" s="18">
        <v>9</v>
      </c>
      <c r="J175" s="22" t="s">
        <v>95</v>
      </c>
      <c r="K175" s="22"/>
      <c r="L175" s="19"/>
      <c r="M175" s="40"/>
      <c r="N175" s="15" t="str">
        <f t="shared" si="2"/>
        <v xml:space="preserve">   ,"StaPageCnt" : 6</v>
      </c>
      <c r="O175" s="40">
        <v>6</v>
      </c>
    </row>
    <row r="176" spans="1:15" hidden="1">
      <c r="A176" s="15">
        <v>166</v>
      </c>
      <c r="B176" s="15" t="s">
        <v>178</v>
      </c>
      <c r="C176" s="33" t="str">
        <f>VLOOKUP($B176,API목록!$B$11:$C$39,2,0)</f>
        <v>일반공지목록조회</v>
      </c>
      <c r="D176" s="18">
        <v>11</v>
      </c>
      <c r="E176" s="32" t="s">
        <v>224</v>
      </c>
      <c r="F176" s="37" t="s">
        <v>101</v>
      </c>
      <c r="G176" s="40" t="s">
        <v>397</v>
      </c>
      <c r="H176" s="18" t="s">
        <v>381</v>
      </c>
      <c r="I176" s="18">
        <v>9</v>
      </c>
      <c r="J176" s="22" t="s">
        <v>95</v>
      </c>
      <c r="K176" s="22">
        <v>50</v>
      </c>
      <c r="L176" s="19"/>
      <c r="M176" s="40"/>
      <c r="N176" s="15" t="str">
        <f t="shared" si="2"/>
        <v xml:space="preserve">   ,"Seq" : 1</v>
      </c>
      <c r="O176" s="40">
        <v>1</v>
      </c>
    </row>
    <row r="177" spans="1:15" hidden="1">
      <c r="A177" s="15">
        <v>167</v>
      </c>
      <c r="B177" s="15" t="s">
        <v>178</v>
      </c>
      <c r="C177" s="33" t="str">
        <f>VLOOKUP($B177,API목록!$B$11:$C$39,2,0)</f>
        <v>일반공지목록조회</v>
      </c>
      <c r="D177" s="18">
        <v>12</v>
      </c>
      <c r="E177" s="32" t="s">
        <v>224</v>
      </c>
      <c r="F177" s="37" t="s">
        <v>236</v>
      </c>
      <c r="G177" s="40" t="s">
        <v>402</v>
      </c>
      <c r="H177" s="18" t="s">
        <v>381</v>
      </c>
      <c r="I177" s="18">
        <v>9</v>
      </c>
      <c r="J177" s="22" t="s">
        <v>95</v>
      </c>
      <c r="K177" s="22">
        <v>50</v>
      </c>
      <c r="L177" s="19"/>
      <c r="M177" s="40"/>
      <c r="N177" s="15" t="str">
        <f t="shared" si="2"/>
        <v xml:space="preserve">   ,"NtcNo" : 21</v>
      </c>
      <c r="O177" s="40">
        <v>21</v>
      </c>
    </row>
    <row r="178" spans="1:15" hidden="1">
      <c r="A178" s="15">
        <v>168</v>
      </c>
      <c r="B178" s="15" t="s">
        <v>178</v>
      </c>
      <c r="C178" s="33" t="str">
        <f>VLOOKUP($B178,API목록!$B$11:$C$39,2,0)</f>
        <v>일반공지목록조회</v>
      </c>
      <c r="D178" s="18">
        <v>13</v>
      </c>
      <c r="E178" s="32" t="s">
        <v>224</v>
      </c>
      <c r="F178" s="37" t="s">
        <v>255</v>
      </c>
      <c r="G178" s="40" t="s">
        <v>403</v>
      </c>
      <c r="H178" s="18" t="s">
        <v>374</v>
      </c>
      <c r="I178" s="18">
        <v>8</v>
      </c>
      <c r="J178" s="22" t="s">
        <v>95</v>
      </c>
      <c r="K178" s="22">
        <v>50</v>
      </c>
      <c r="L178" s="19"/>
      <c r="M178" s="40"/>
      <c r="N178" s="15" t="str">
        <f t="shared" si="2"/>
        <v xml:space="preserve">   ,"NtcStaDate" : "21/08/01"</v>
      </c>
      <c r="O178" s="41" t="s">
        <v>473</v>
      </c>
    </row>
    <row r="179" spans="1:15" hidden="1">
      <c r="A179" s="15">
        <v>169</v>
      </c>
      <c r="B179" s="15" t="s">
        <v>178</v>
      </c>
      <c r="C179" s="33" t="str">
        <f>VLOOKUP($B179,API목록!$B$11:$C$39,2,0)</f>
        <v>일반공지목록조회</v>
      </c>
      <c r="D179" s="18">
        <v>14</v>
      </c>
      <c r="E179" s="32" t="s">
        <v>224</v>
      </c>
      <c r="F179" s="37" t="s">
        <v>256</v>
      </c>
      <c r="G179" s="40" t="s">
        <v>404</v>
      </c>
      <c r="H179" s="18" t="s">
        <v>374</v>
      </c>
      <c r="I179" s="18">
        <v>8</v>
      </c>
      <c r="J179" s="22" t="s">
        <v>95</v>
      </c>
      <c r="K179" s="22">
        <v>50</v>
      </c>
      <c r="L179" s="19"/>
      <c r="M179" s="40"/>
      <c r="N179" s="15" t="str">
        <f t="shared" si="2"/>
        <v xml:space="preserve">   ,"NtcEndDate" : "21/08/01"</v>
      </c>
      <c r="O179" s="41" t="s">
        <v>473</v>
      </c>
    </row>
    <row r="180" spans="1:15" hidden="1">
      <c r="A180" s="15">
        <v>170</v>
      </c>
      <c r="B180" s="15" t="s">
        <v>178</v>
      </c>
      <c r="C180" s="33" t="str">
        <f>VLOOKUP($B180,API목록!$B$11:$C$39,2,0)</f>
        <v>일반공지목록조회</v>
      </c>
      <c r="D180" s="18">
        <v>15</v>
      </c>
      <c r="E180" s="32" t="s">
        <v>224</v>
      </c>
      <c r="F180" s="37" t="s">
        <v>336</v>
      </c>
      <c r="G180" s="40" t="s">
        <v>337</v>
      </c>
      <c r="H180" s="18" t="s">
        <v>1</v>
      </c>
      <c r="I180" s="18">
        <v>100</v>
      </c>
      <c r="J180" s="22" t="s">
        <v>95</v>
      </c>
      <c r="K180" s="22">
        <v>50</v>
      </c>
      <c r="L180" s="19"/>
      <c r="M180" s="40"/>
      <c r="N180" s="15" t="str">
        <f t="shared" si="2"/>
        <v xml:space="preserve">   ,"NtcTpNm" : "공지종류명"</v>
      </c>
      <c r="O180" s="40" t="s">
        <v>496</v>
      </c>
    </row>
    <row r="181" spans="1:15" hidden="1">
      <c r="A181" s="15">
        <v>171</v>
      </c>
      <c r="B181" s="15" t="s">
        <v>178</v>
      </c>
      <c r="C181" s="33" t="str">
        <f>VLOOKUP($B181,API목록!$B$11:$C$39,2,0)</f>
        <v>일반공지목록조회</v>
      </c>
      <c r="D181" s="18">
        <v>16</v>
      </c>
      <c r="E181" s="32" t="s">
        <v>224</v>
      </c>
      <c r="F181" s="37" t="s">
        <v>258</v>
      </c>
      <c r="G181" s="40" t="s">
        <v>405</v>
      </c>
      <c r="H181" s="18" t="s">
        <v>374</v>
      </c>
      <c r="I181" s="18">
        <v>300</v>
      </c>
      <c r="J181" s="22" t="s">
        <v>95</v>
      </c>
      <c r="K181" s="22">
        <v>50</v>
      </c>
      <c r="L181" s="19"/>
      <c r="M181" s="40"/>
      <c r="N181" s="15" t="str">
        <f t="shared" si="2"/>
        <v xml:space="preserve">   ,"NtcTitl" : "공지제목"</v>
      </c>
      <c r="O181" s="40" t="s">
        <v>497</v>
      </c>
    </row>
    <row r="182" spans="1:15" hidden="1">
      <c r="A182" s="15">
        <v>172</v>
      </c>
      <c r="B182" s="15" t="s">
        <v>178</v>
      </c>
      <c r="C182" s="33" t="str">
        <f>VLOOKUP($B182,API목록!$B$11:$C$39,2,0)</f>
        <v>일반공지목록조회</v>
      </c>
      <c r="D182" s="18">
        <v>17</v>
      </c>
      <c r="E182" s="32" t="s">
        <v>224</v>
      </c>
      <c r="F182" s="21" t="s">
        <v>259</v>
      </c>
      <c r="G182" s="40" t="s">
        <v>406</v>
      </c>
      <c r="H182" s="18" t="s">
        <v>374</v>
      </c>
      <c r="I182" s="18">
        <v>3000</v>
      </c>
      <c r="J182" s="22" t="s">
        <v>225</v>
      </c>
      <c r="K182" s="22">
        <v>50</v>
      </c>
      <c r="L182" s="19"/>
      <c r="M182" s="40"/>
      <c r="N182" s="15" t="str">
        <f t="shared" si="2"/>
        <v xml:space="preserve">   ,"NtcDesc" : "공지내용"   }
]}</v>
      </c>
      <c r="O182" s="40" t="s">
        <v>467</v>
      </c>
    </row>
    <row r="183" spans="1:15" hidden="1">
      <c r="A183" s="15">
        <v>173</v>
      </c>
      <c r="B183" s="15" t="s">
        <v>180</v>
      </c>
      <c r="C183" s="33" t="str">
        <f>VLOOKUP($B183,API목록!$B$11:$C$39,2,0)</f>
        <v>개별공지목록조회</v>
      </c>
      <c r="D183" s="18">
        <v>1</v>
      </c>
      <c r="E183" s="31" t="s">
        <v>437</v>
      </c>
      <c r="F183" s="40" t="s">
        <v>98</v>
      </c>
      <c r="G183" s="40" t="s">
        <v>323</v>
      </c>
      <c r="H183" s="18" t="s">
        <v>1</v>
      </c>
      <c r="I183" s="18">
        <v>3</v>
      </c>
      <c r="J183" s="22" t="s">
        <v>95</v>
      </c>
      <c r="K183" s="22"/>
      <c r="L183" s="40" t="s">
        <v>323</v>
      </c>
      <c r="M183" s="24" t="s">
        <v>322</v>
      </c>
      <c r="N183" s="15" t="str">
        <f t="shared" si="2"/>
        <v>{"ApiIndividualNoticeInq":[
   {"UseLangCd" : "KOR"</v>
      </c>
      <c r="O183" s="24" t="s">
        <v>450</v>
      </c>
    </row>
    <row r="184" spans="1:15" hidden="1">
      <c r="A184" s="15">
        <v>174</v>
      </c>
      <c r="B184" s="15" t="s">
        <v>180</v>
      </c>
      <c r="C184" s="33" t="str">
        <f>VLOOKUP($B184,API목록!$B$11:$C$39,2,0)</f>
        <v>개별공지목록조회</v>
      </c>
      <c r="D184" s="18">
        <v>2</v>
      </c>
      <c r="E184" s="31" t="s">
        <v>437</v>
      </c>
      <c r="F184" s="37" t="s">
        <v>226</v>
      </c>
      <c r="G184" s="40" t="s">
        <v>373</v>
      </c>
      <c r="H184" s="18" t="s">
        <v>374</v>
      </c>
      <c r="I184" s="18">
        <v>20</v>
      </c>
      <c r="J184" s="22" t="s">
        <v>95</v>
      </c>
      <c r="K184" s="22"/>
      <c r="L184" s="19"/>
      <c r="M184" s="40"/>
      <c r="N184" s="15" t="str">
        <f t="shared" si="2"/>
        <v xml:space="preserve">   ,"UserPhnNo" : "01012345678"</v>
      </c>
      <c r="O184" s="24" t="s">
        <v>456</v>
      </c>
    </row>
    <row r="185" spans="1:15" hidden="1">
      <c r="A185" s="15">
        <v>175</v>
      </c>
      <c r="B185" s="15" t="s">
        <v>180</v>
      </c>
      <c r="C185" s="33" t="str">
        <f>VLOOKUP($B185,API목록!$B$11:$C$39,2,0)</f>
        <v>개별공지목록조회</v>
      </c>
      <c r="D185" s="18">
        <v>3</v>
      </c>
      <c r="E185" s="31" t="s">
        <v>437</v>
      </c>
      <c r="F185" s="21" t="s">
        <v>99</v>
      </c>
      <c r="G185" s="40" t="s">
        <v>97</v>
      </c>
      <c r="H185" s="18" t="s">
        <v>1</v>
      </c>
      <c r="I185" s="18">
        <v>3</v>
      </c>
      <c r="J185" s="22" t="s">
        <v>95</v>
      </c>
      <c r="K185" s="22"/>
      <c r="L185" s="40" t="s">
        <v>97</v>
      </c>
      <c r="M185" s="40"/>
      <c r="N185" s="15" t="str">
        <f t="shared" si="2"/>
        <v xml:space="preserve">   ,"PageReqPartCd" : "FWD"</v>
      </c>
      <c r="O185" s="40" t="s">
        <v>464</v>
      </c>
    </row>
    <row r="186" spans="1:15" hidden="1">
      <c r="A186" s="15">
        <v>176</v>
      </c>
      <c r="B186" s="15" t="s">
        <v>180</v>
      </c>
      <c r="C186" s="33" t="str">
        <f>VLOOKUP($B186,API목록!$B$11:$C$39,2,0)</f>
        <v>개별공지목록조회</v>
      </c>
      <c r="D186" s="18">
        <v>4</v>
      </c>
      <c r="E186" s="31" t="s">
        <v>437</v>
      </c>
      <c r="F186" s="21" t="s">
        <v>324</v>
      </c>
      <c r="G186" s="40" t="s">
        <v>333</v>
      </c>
      <c r="H186" s="18" t="s">
        <v>277</v>
      </c>
      <c r="I186" s="18">
        <v>9</v>
      </c>
      <c r="J186" s="22" t="s">
        <v>95</v>
      </c>
      <c r="K186" s="22"/>
      <c r="L186" s="19"/>
      <c r="M186" s="40"/>
      <c r="N186" s="15" t="str">
        <f t="shared" si="2"/>
        <v xml:space="preserve">   ,"BasePageCnt" : 1</v>
      </c>
      <c r="O186" s="40">
        <v>1</v>
      </c>
    </row>
    <row r="187" spans="1:15" hidden="1">
      <c r="A187" s="15">
        <v>177</v>
      </c>
      <c r="B187" s="15" t="s">
        <v>180</v>
      </c>
      <c r="C187" s="33" t="str">
        <f>VLOOKUP($B187,API목록!$B$11:$C$39,2,0)</f>
        <v>개별공지목록조회</v>
      </c>
      <c r="D187" s="18">
        <v>5</v>
      </c>
      <c r="E187" s="32" t="s">
        <v>224</v>
      </c>
      <c r="F187" s="40" t="s">
        <v>88</v>
      </c>
      <c r="G187" s="40" t="s">
        <v>303</v>
      </c>
      <c r="H187" s="18" t="s">
        <v>374</v>
      </c>
      <c r="I187" s="18">
        <v>7</v>
      </c>
      <c r="J187" s="22" t="s">
        <v>95</v>
      </c>
      <c r="K187" s="22"/>
      <c r="L187" s="16" t="s">
        <v>93</v>
      </c>
      <c r="M187" s="40"/>
      <c r="N187" s="15" t="str">
        <f t="shared" si="2"/>
        <v xml:space="preserve">   ,"ProcRsltCd" : "105-000"</v>
      </c>
      <c r="O187" s="24" t="s">
        <v>498</v>
      </c>
    </row>
    <row r="188" spans="1:15" hidden="1">
      <c r="A188" s="15">
        <v>178</v>
      </c>
      <c r="B188" s="15" t="s">
        <v>180</v>
      </c>
      <c r="C188" s="33" t="str">
        <f>VLOOKUP($B188,API목록!$B$11:$C$39,2,0)</f>
        <v>개별공지목록조회</v>
      </c>
      <c r="D188" s="18">
        <v>6</v>
      </c>
      <c r="E188" s="32" t="s">
        <v>224</v>
      </c>
      <c r="F188" s="40" t="s">
        <v>431</v>
      </c>
      <c r="G188" s="40" t="s">
        <v>430</v>
      </c>
      <c r="H188" s="18" t="s">
        <v>1</v>
      </c>
      <c r="I188" s="18">
        <v>1</v>
      </c>
      <c r="J188" s="22" t="s">
        <v>95</v>
      </c>
      <c r="K188" s="22"/>
      <c r="L188" s="19"/>
      <c r="M188" s="24" t="s">
        <v>434</v>
      </c>
      <c r="N188" s="15" t="str">
        <f t="shared" si="2"/>
        <v xml:space="preserve">   ,"RsltMsgPopupYN" : "Y"</v>
      </c>
      <c r="O188" s="24" t="s">
        <v>453</v>
      </c>
    </row>
    <row r="189" spans="1:15" hidden="1">
      <c r="A189" s="15">
        <v>179</v>
      </c>
      <c r="B189" s="15" t="s">
        <v>180</v>
      </c>
      <c r="C189" s="33" t="str">
        <f>VLOOKUP($B189,API목록!$B$11:$C$39,2,0)</f>
        <v>개별공지목록조회</v>
      </c>
      <c r="D189" s="18">
        <v>7</v>
      </c>
      <c r="E189" s="32" t="s">
        <v>224</v>
      </c>
      <c r="F189" s="40" t="s">
        <v>427</v>
      </c>
      <c r="G189" s="40" t="s">
        <v>428</v>
      </c>
      <c r="H189" s="18" t="s">
        <v>374</v>
      </c>
      <c r="I189" s="18">
        <v>300</v>
      </c>
      <c r="J189" s="22" t="s">
        <v>225</v>
      </c>
      <c r="K189" s="22"/>
      <c r="L189" s="19"/>
      <c r="M189" s="40"/>
      <c r="N189" s="15" t="str">
        <f t="shared" si="2"/>
        <v xml:space="preserve">   ,"RsltMsg" : "결과메시지"</v>
      </c>
      <c r="O189" s="24" t="s">
        <v>460</v>
      </c>
    </row>
    <row r="190" spans="1:15" hidden="1">
      <c r="A190" s="15">
        <v>180</v>
      </c>
      <c r="B190" s="15" t="s">
        <v>180</v>
      </c>
      <c r="C190" s="33" t="str">
        <f>VLOOKUP($B190,API목록!$B$11:$C$39,2,0)</f>
        <v>개별공지목록조회</v>
      </c>
      <c r="D190" s="18">
        <v>8</v>
      </c>
      <c r="E190" s="32" t="s">
        <v>224</v>
      </c>
      <c r="F190" s="37" t="s">
        <v>100</v>
      </c>
      <c r="G190" s="40" t="s">
        <v>330</v>
      </c>
      <c r="H190" s="18" t="s">
        <v>277</v>
      </c>
      <c r="I190" s="18">
        <v>9</v>
      </c>
      <c r="J190" s="22" t="s">
        <v>95</v>
      </c>
      <c r="K190" s="22"/>
      <c r="L190" s="19"/>
      <c r="M190" s="40"/>
      <c r="N190" s="15" t="str">
        <f t="shared" si="2"/>
        <v xml:space="preserve">   ,"TotCnt" : 999</v>
      </c>
      <c r="O190" s="40">
        <v>999</v>
      </c>
    </row>
    <row r="191" spans="1:15" hidden="1">
      <c r="A191" s="15">
        <v>181</v>
      </c>
      <c r="B191" s="15" t="s">
        <v>180</v>
      </c>
      <c r="C191" s="33" t="str">
        <f>VLOOKUP($B191,API목록!$B$11:$C$39,2,0)</f>
        <v>개별공지목록조회</v>
      </c>
      <c r="D191" s="18">
        <v>9</v>
      </c>
      <c r="E191" s="32" t="s">
        <v>224</v>
      </c>
      <c r="F191" s="37" t="s">
        <v>326</v>
      </c>
      <c r="G191" s="40" t="s">
        <v>331</v>
      </c>
      <c r="H191" s="18" t="s">
        <v>277</v>
      </c>
      <c r="I191" s="18">
        <v>9</v>
      </c>
      <c r="J191" s="22" t="s">
        <v>95</v>
      </c>
      <c r="K191" s="22"/>
      <c r="L191" s="19"/>
      <c r="M191" s="40"/>
      <c r="N191" s="15" t="str">
        <f t="shared" si="2"/>
        <v xml:space="preserve">   ,"TotPageCnt" : 13</v>
      </c>
      <c r="O191" s="40">
        <v>13</v>
      </c>
    </row>
    <row r="192" spans="1:15" hidden="1">
      <c r="A192" s="15">
        <v>182</v>
      </c>
      <c r="B192" s="15" t="s">
        <v>180</v>
      </c>
      <c r="C192" s="33" t="str">
        <f>VLOOKUP($B192,API목록!$B$11:$C$39,2,0)</f>
        <v>개별공지목록조회</v>
      </c>
      <c r="D192" s="18">
        <v>10</v>
      </c>
      <c r="E192" s="32" t="s">
        <v>224</v>
      </c>
      <c r="F192" s="37" t="s">
        <v>334</v>
      </c>
      <c r="G192" s="40" t="s">
        <v>335</v>
      </c>
      <c r="H192" s="18" t="s">
        <v>277</v>
      </c>
      <c r="I192" s="18">
        <v>9</v>
      </c>
      <c r="J192" s="22" t="s">
        <v>95</v>
      </c>
      <c r="K192" s="22"/>
      <c r="L192" s="19"/>
      <c r="M192" s="40"/>
      <c r="N192" s="15" t="str">
        <f t="shared" si="2"/>
        <v xml:space="preserve">   ,"StaPageCnt" : 6</v>
      </c>
      <c r="O192" s="40">
        <v>6</v>
      </c>
    </row>
    <row r="193" spans="1:15" hidden="1">
      <c r="A193" s="15">
        <v>183</v>
      </c>
      <c r="B193" s="15" t="s">
        <v>180</v>
      </c>
      <c r="C193" s="33" t="str">
        <f>VLOOKUP($B193,API목록!$B$11:$C$39,2,0)</f>
        <v>개별공지목록조회</v>
      </c>
      <c r="D193" s="18">
        <v>11</v>
      </c>
      <c r="E193" s="32" t="s">
        <v>224</v>
      </c>
      <c r="F193" s="37" t="s">
        <v>101</v>
      </c>
      <c r="G193" s="40" t="s">
        <v>397</v>
      </c>
      <c r="H193" s="18" t="s">
        <v>381</v>
      </c>
      <c r="I193" s="18">
        <v>9</v>
      </c>
      <c r="J193" s="22" t="s">
        <v>95</v>
      </c>
      <c r="K193" s="22">
        <v>50</v>
      </c>
      <c r="L193" s="19"/>
      <c r="M193" s="40"/>
      <c r="N193" s="15" t="str">
        <f t="shared" si="2"/>
        <v xml:space="preserve">   ,"Seq" : 1</v>
      </c>
      <c r="O193" s="40">
        <v>1</v>
      </c>
    </row>
    <row r="194" spans="1:15" hidden="1">
      <c r="A194" s="15">
        <v>184</v>
      </c>
      <c r="B194" s="15" t="s">
        <v>180</v>
      </c>
      <c r="C194" s="33" t="str">
        <f>VLOOKUP($B194,API목록!$B$11:$C$39,2,0)</f>
        <v>개별공지목록조회</v>
      </c>
      <c r="D194" s="18">
        <v>12</v>
      </c>
      <c r="E194" s="32" t="s">
        <v>224</v>
      </c>
      <c r="F194" s="37" t="s">
        <v>236</v>
      </c>
      <c r="G194" s="40" t="s">
        <v>402</v>
      </c>
      <c r="H194" s="18" t="s">
        <v>381</v>
      </c>
      <c r="I194" s="18">
        <v>9</v>
      </c>
      <c r="J194" s="22" t="s">
        <v>95</v>
      </c>
      <c r="K194" s="22">
        <v>50</v>
      </c>
      <c r="L194" s="19"/>
      <c r="M194" s="40"/>
      <c r="N194" s="15" t="str">
        <f t="shared" si="2"/>
        <v xml:space="preserve">   ,"NtcNo" : 22</v>
      </c>
      <c r="O194" s="40">
        <v>22</v>
      </c>
    </row>
    <row r="195" spans="1:15" hidden="1">
      <c r="A195" s="15">
        <v>185</v>
      </c>
      <c r="B195" s="15" t="s">
        <v>180</v>
      </c>
      <c r="C195" s="33" t="str">
        <f>VLOOKUP($B195,API목록!$B$11:$C$39,2,0)</f>
        <v>개별공지목록조회</v>
      </c>
      <c r="D195" s="18">
        <v>13</v>
      </c>
      <c r="E195" s="32" t="s">
        <v>224</v>
      </c>
      <c r="F195" s="37" t="s">
        <v>255</v>
      </c>
      <c r="G195" s="40" t="s">
        <v>403</v>
      </c>
      <c r="H195" s="18" t="s">
        <v>374</v>
      </c>
      <c r="I195" s="18">
        <v>8</v>
      </c>
      <c r="J195" s="22" t="s">
        <v>95</v>
      </c>
      <c r="K195" s="22">
        <v>50</v>
      </c>
      <c r="L195" s="19"/>
      <c r="M195" s="40"/>
      <c r="N195" s="15" t="str">
        <f t="shared" si="2"/>
        <v xml:space="preserve">   ,"NtcStaDate" : "21/08/01"</v>
      </c>
      <c r="O195" s="41" t="s">
        <v>473</v>
      </c>
    </row>
    <row r="196" spans="1:15" hidden="1">
      <c r="A196" s="15">
        <v>186</v>
      </c>
      <c r="B196" s="15" t="s">
        <v>180</v>
      </c>
      <c r="C196" s="33" t="str">
        <f>VLOOKUP($B196,API목록!$B$11:$C$39,2,0)</f>
        <v>개별공지목록조회</v>
      </c>
      <c r="D196" s="18">
        <v>14</v>
      </c>
      <c r="E196" s="32" t="s">
        <v>224</v>
      </c>
      <c r="F196" s="37" t="s">
        <v>256</v>
      </c>
      <c r="G196" s="40" t="s">
        <v>404</v>
      </c>
      <c r="H196" s="18" t="s">
        <v>374</v>
      </c>
      <c r="I196" s="18">
        <v>8</v>
      </c>
      <c r="J196" s="22" t="s">
        <v>95</v>
      </c>
      <c r="K196" s="22">
        <v>50</v>
      </c>
      <c r="L196" s="19"/>
      <c r="M196" s="40"/>
      <c r="N196" s="15" t="str">
        <f t="shared" si="2"/>
        <v xml:space="preserve">   ,"NtcEndDate" : "21/08/31"</v>
      </c>
      <c r="O196" s="41" t="s">
        <v>474</v>
      </c>
    </row>
    <row r="197" spans="1:15" hidden="1">
      <c r="A197" s="15">
        <v>187</v>
      </c>
      <c r="B197" s="15" t="s">
        <v>180</v>
      </c>
      <c r="C197" s="33" t="str">
        <f>VLOOKUP($B197,API목록!$B$11:$C$39,2,0)</f>
        <v>개별공지목록조회</v>
      </c>
      <c r="D197" s="18">
        <v>15</v>
      </c>
      <c r="E197" s="32" t="s">
        <v>224</v>
      </c>
      <c r="F197" s="37" t="s">
        <v>257</v>
      </c>
      <c r="G197" s="40" t="s">
        <v>337</v>
      </c>
      <c r="H197" s="18" t="s">
        <v>1</v>
      </c>
      <c r="I197" s="18">
        <v>100</v>
      </c>
      <c r="J197" s="22" t="s">
        <v>95</v>
      </c>
      <c r="K197" s="22">
        <v>50</v>
      </c>
      <c r="L197" s="19"/>
      <c r="M197" s="40"/>
      <c r="N197" s="15" t="str">
        <f t="shared" si="2"/>
        <v xml:space="preserve">   ,"NtcTpNm" : "공지종류명"</v>
      </c>
      <c r="O197" s="40" t="s">
        <v>496</v>
      </c>
    </row>
    <row r="198" spans="1:15" hidden="1">
      <c r="A198" s="15">
        <v>188</v>
      </c>
      <c r="B198" s="15" t="s">
        <v>180</v>
      </c>
      <c r="C198" s="33" t="str">
        <f>VLOOKUP($B198,API목록!$B$11:$C$39,2,0)</f>
        <v>개별공지목록조회</v>
      </c>
      <c r="D198" s="18">
        <v>16</v>
      </c>
      <c r="E198" s="32" t="s">
        <v>224</v>
      </c>
      <c r="F198" s="37" t="s">
        <v>258</v>
      </c>
      <c r="G198" s="40" t="s">
        <v>405</v>
      </c>
      <c r="H198" s="18" t="s">
        <v>374</v>
      </c>
      <c r="I198" s="18">
        <v>300</v>
      </c>
      <c r="J198" s="22" t="s">
        <v>95</v>
      </c>
      <c r="K198" s="22">
        <v>50</v>
      </c>
      <c r="L198" s="19"/>
      <c r="M198" s="40"/>
      <c r="N198" s="15" t="str">
        <f t="shared" si="2"/>
        <v xml:space="preserve">   ,"NtcTitl" : "공지제목"</v>
      </c>
      <c r="O198" s="40" t="s">
        <v>497</v>
      </c>
    </row>
    <row r="199" spans="1:15" hidden="1">
      <c r="A199" s="15">
        <v>189</v>
      </c>
      <c r="B199" s="15" t="s">
        <v>180</v>
      </c>
      <c r="C199" s="33" t="str">
        <f>VLOOKUP($B199,API목록!$B$11:$C$39,2,0)</f>
        <v>개별공지목록조회</v>
      </c>
      <c r="D199" s="18">
        <v>17</v>
      </c>
      <c r="E199" s="32" t="s">
        <v>224</v>
      </c>
      <c r="F199" s="21" t="s">
        <v>259</v>
      </c>
      <c r="G199" s="40" t="s">
        <v>406</v>
      </c>
      <c r="H199" s="18" t="s">
        <v>374</v>
      </c>
      <c r="I199" s="18">
        <v>3000</v>
      </c>
      <c r="J199" s="22" t="s">
        <v>225</v>
      </c>
      <c r="K199" s="22">
        <v>50</v>
      </c>
      <c r="L199" s="19"/>
      <c r="M199" s="40"/>
      <c r="N199" s="15" t="str">
        <f t="shared" si="2"/>
        <v xml:space="preserve">   ,"NtcDesc" : "공지내용"   }
]}</v>
      </c>
      <c r="O199" s="40" t="s">
        <v>467</v>
      </c>
    </row>
    <row r="200" spans="1:15" hidden="1">
      <c r="A200" s="15">
        <v>190</v>
      </c>
      <c r="B200" s="15" t="s">
        <v>182</v>
      </c>
      <c r="C200" s="33" t="str">
        <f>VLOOKUP($B200,API목록!$B$11:$C$39,2,0)</f>
        <v>이벤트목록조회</v>
      </c>
      <c r="D200" s="18">
        <v>1</v>
      </c>
      <c r="E200" s="31" t="s">
        <v>437</v>
      </c>
      <c r="F200" s="40" t="s">
        <v>98</v>
      </c>
      <c r="G200" s="40" t="s">
        <v>323</v>
      </c>
      <c r="H200" s="18" t="s">
        <v>1</v>
      </c>
      <c r="I200" s="18">
        <v>3</v>
      </c>
      <c r="J200" s="22" t="s">
        <v>95</v>
      </c>
      <c r="K200" s="22"/>
      <c r="L200" s="40" t="s">
        <v>323</v>
      </c>
      <c r="M200" s="24" t="s">
        <v>322</v>
      </c>
      <c r="N200" s="15" t="str">
        <f t="shared" si="2"/>
        <v>{"ApiEventInq":[
   {"UseLangCd" : "KOR"</v>
      </c>
      <c r="O200" s="24" t="s">
        <v>450</v>
      </c>
    </row>
    <row r="201" spans="1:15" hidden="1">
      <c r="A201" s="15">
        <v>191</v>
      </c>
      <c r="B201" s="15" t="s">
        <v>182</v>
      </c>
      <c r="C201" s="33" t="str">
        <f>VLOOKUP($B201,API목록!$B$11:$C$39,2,0)</f>
        <v>이벤트목록조회</v>
      </c>
      <c r="D201" s="18">
        <v>2</v>
      </c>
      <c r="E201" s="31" t="s">
        <v>437</v>
      </c>
      <c r="F201" s="37" t="s">
        <v>226</v>
      </c>
      <c r="G201" s="40" t="s">
        <v>373</v>
      </c>
      <c r="H201" s="18" t="s">
        <v>374</v>
      </c>
      <c r="I201" s="18">
        <v>20</v>
      </c>
      <c r="J201" s="22" t="s">
        <v>95</v>
      </c>
      <c r="K201" s="22"/>
      <c r="L201" s="19"/>
      <c r="M201" s="40"/>
      <c r="N201" s="15" t="str">
        <f t="shared" si="2"/>
        <v xml:space="preserve">   ,"UserPhnNo" : "01012345678"</v>
      </c>
      <c r="O201" s="24" t="s">
        <v>456</v>
      </c>
    </row>
    <row r="202" spans="1:15" hidden="1">
      <c r="A202" s="15">
        <v>192</v>
      </c>
      <c r="B202" s="15" t="s">
        <v>182</v>
      </c>
      <c r="C202" s="33" t="str">
        <f>VLOOKUP($B202,API목록!$B$11:$C$39,2,0)</f>
        <v>이벤트목록조회</v>
      </c>
      <c r="D202" s="18">
        <v>3</v>
      </c>
      <c r="E202" s="31" t="s">
        <v>437</v>
      </c>
      <c r="F202" s="21" t="s">
        <v>99</v>
      </c>
      <c r="G202" s="40" t="s">
        <v>97</v>
      </c>
      <c r="H202" s="18" t="s">
        <v>1</v>
      </c>
      <c r="I202" s="18">
        <v>3</v>
      </c>
      <c r="J202" s="22" t="s">
        <v>95</v>
      </c>
      <c r="K202" s="22"/>
      <c r="L202" s="40" t="s">
        <v>97</v>
      </c>
      <c r="M202" s="40"/>
      <c r="N202" s="15" t="str">
        <f t="shared" si="2"/>
        <v xml:space="preserve">   ,"PageReqPartCd" : "FWD"</v>
      </c>
      <c r="O202" s="40" t="s">
        <v>464</v>
      </c>
    </row>
    <row r="203" spans="1:15" hidden="1">
      <c r="A203" s="15">
        <v>193</v>
      </c>
      <c r="B203" s="15" t="s">
        <v>182</v>
      </c>
      <c r="C203" s="33" t="str">
        <f>VLOOKUP($B203,API목록!$B$11:$C$39,2,0)</f>
        <v>이벤트목록조회</v>
      </c>
      <c r="D203" s="18">
        <v>4</v>
      </c>
      <c r="E203" s="31" t="s">
        <v>437</v>
      </c>
      <c r="F203" s="21" t="s">
        <v>324</v>
      </c>
      <c r="G203" s="40" t="s">
        <v>333</v>
      </c>
      <c r="H203" s="18" t="s">
        <v>277</v>
      </c>
      <c r="I203" s="18">
        <v>9</v>
      </c>
      <c r="J203" s="22" t="s">
        <v>95</v>
      </c>
      <c r="K203" s="22"/>
      <c r="L203" s="19"/>
      <c r="M203" s="40"/>
      <c r="N203" s="15" t="str">
        <f t="shared" si="2"/>
        <v xml:space="preserve">   ,"BasePageCnt" : 1</v>
      </c>
      <c r="O203" s="40">
        <v>1</v>
      </c>
    </row>
    <row r="204" spans="1:15" hidden="1">
      <c r="A204" s="15">
        <v>194</v>
      </c>
      <c r="B204" s="15" t="s">
        <v>182</v>
      </c>
      <c r="C204" s="33" t="str">
        <f>VLOOKUP($B204,API목록!$B$11:$C$39,2,0)</f>
        <v>이벤트목록조회</v>
      </c>
      <c r="D204" s="18">
        <v>5</v>
      </c>
      <c r="E204" s="32" t="s">
        <v>224</v>
      </c>
      <c r="F204" s="40" t="s">
        <v>88</v>
      </c>
      <c r="G204" s="40" t="s">
        <v>303</v>
      </c>
      <c r="H204" s="18" t="s">
        <v>374</v>
      </c>
      <c r="I204" s="18">
        <v>7</v>
      </c>
      <c r="J204" s="22" t="s">
        <v>95</v>
      </c>
      <c r="K204" s="22"/>
      <c r="L204" s="16" t="s">
        <v>93</v>
      </c>
      <c r="M204" s="40"/>
      <c r="N204" s="15" t="str">
        <f t="shared" ref="N204:N267" si="3">IF(D204=1,"{"&amp;""""&amp;B204&amp;""""&amp;":["&amp;CHAR(10)&amp;"   {"&amp;""""&amp;G204&amp;""""&amp;" : "&amp;O204,"   ,"&amp;""""&amp;G204&amp;""""&amp;" : "&amp;O204)&amp;IF(D205=1,"   }"&amp;CHAR(10)&amp;"]}","")</f>
        <v xml:space="preserve">   ,"ProcRsltCd" : "106-000"</v>
      </c>
      <c r="O204" s="24" t="s">
        <v>499</v>
      </c>
    </row>
    <row r="205" spans="1:15" hidden="1">
      <c r="A205" s="15">
        <v>195</v>
      </c>
      <c r="B205" s="15" t="s">
        <v>182</v>
      </c>
      <c r="C205" s="33" t="str">
        <f>VLOOKUP($B205,API목록!$B$11:$C$39,2,0)</f>
        <v>이벤트목록조회</v>
      </c>
      <c r="D205" s="18">
        <v>6</v>
      </c>
      <c r="E205" s="32" t="s">
        <v>224</v>
      </c>
      <c r="F205" s="40" t="s">
        <v>431</v>
      </c>
      <c r="G205" s="40" t="s">
        <v>430</v>
      </c>
      <c r="H205" s="18" t="s">
        <v>1</v>
      </c>
      <c r="I205" s="18">
        <v>1</v>
      </c>
      <c r="J205" s="22" t="s">
        <v>95</v>
      </c>
      <c r="K205" s="22"/>
      <c r="L205" s="19"/>
      <c r="M205" s="24" t="s">
        <v>434</v>
      </c>
      <c r="N205" s="15" t="str">
        <f t="shared" si="3"/>
        <v xml:space="preserve">   ,"RsltMsgPopupYN" : "Y"</v>
      </c>
      <c r="O205" s="24" t="s">
        <v>453</v>
      </c>
    </row>
    <row r="206" spans="1:15" hidden="1">
      <c r="A206" s="15">
        <v>196</v>
      </c>
      <c r="B206" s="15" t="s">
        <v>182</v>
      </c>
      <c r="C206" s="33" t="str">
        <f>VLOOKUP($B206,API목록!$B$11:$C$39,2,0)</f>
        <v>이벤트목록조회</v>
      </c>
      <c r="D206" s="18">
        <v>7</v>
      </c>
      <c r="E206" s="32" t="s">
        <v>224</v>
      </c>
      <c r="F206" s="40" t="s">
        <v>427</v>
      </c>
      <c r="G206" s="40" t="s">
        <v>428</v>
      </c>
      <c r="H206" s="18" t="s">
        <v>374</v>
      </c>
      <c r="I206" s="18">
        <v>300</v>
      </c>
      <c r="J206" s="22" t="s">
        <v>225</v>
      </c>
      <c r="K206" s="22"/>
      <c r="L206" s="19"/>
      <c r="M206" s="40"/>
      <c r="N206" s="15" t="str">
        <f t="shared" si="3"/>
        <v xml:space="preserve">   ,"RsltMsg" : "결과메시지"</v>
      </c>
      <c r="O206" s="24" t="s">
        <v>460</v>
      </c>
    </row>
    <row r="207" spans="1:15" hidden="1">
      <c r="A207" s="15">
        <v>197</v>
      </c>
      <c r="B207" s="15" t="s">
        <v>182</v>
      </c>
      <c r="C207" s="33" t="str">
        <f>VLOOKUP($B207,API목록!$B$11:$C$39,2,0)</f>
        <v>이벤트목록조회</v>
      </c>
      <c r="D207" s="18">
        <v>8</v>
      </c>
      <c r="E207" s="32" t="s">
        <v>224</v>
      </c>
      <c r="F207" s="37" t="s">
        <v>100</v>
      </c>
      <c r="G207" s="40" t="s">
        <v>330</v>
      </c>
      <c r="H207" s="18" t="s">
        <v>277</v>
      </c>
      <c r="I207" s="18">
        <v>9</v>
      </c>
      <c r="J207" s="22" t="s">
        <v>95</v>
      </c>
      <c r="K207" s="22"/>
      <c r="L207" s="19"/>
      <c r="M207" s="40"/>
      <c r="N207" s="15" t="str">
        <f t="shared" si="3"/>
        <v xml:space="preserve">   ,"TotCnt" : 999</v>
      </c>
      <c r="O207" s="40">
        <v>999</v>
      </c>
    </row>
    <row r="208" spans="1:15" hidden="1">
      <c r="A208" s="15">
        <v>198</v>
      </c>
      <c r="B208" s="15" t="s">
        <v>182</v>
      </c>
      <c r="C208" s="33" t="str">
        <f>VLOOKUP($B208,API목록!$B$11:$C$39,2,0)</f>
        <v>이벤트목록조회</v>
      </c>
      <c r="D208" s="18">
        <v>9</v>
      </c>
      <c r="E208" s="32" t="s">
        <v>224</v>
      </c>
      <c r="F208" s="37" t="s">
        <v>326</v>
      </c>
      <c r="G208" s="40" t="s">
        <v>331</v>
      </c>
      <c r="H208" s="18" t="s">
        <v>277</v>
      </c>
      <c r="I208" s="18">
        <v>9</v>
      </c>
      <c r="J208" s="22" t="s">
        <v>95</v>
      </c>
      <c r="K208" s="22"/>
      <c r="L208" s="19"/>
      <c r="M208" s="40"/>
      <c r="N208" s="15" t="str">
        <f t="shared" si="3"/>
        <v xml:space="preserve">   ,"TotPageCnt" : 13</v>
      </c>
      <c r="O208" s="40">
        <v>13</v>
      </c>
    </row>
    <row r="209" spans="1:15" hidden="1">
      <c r="A209" s="15">
        <v>199</v>
      </c>
      <c r="B209" s="15" t="s">
        <v>182</v>
      </c>
      <c r="C209" s="33" t="str">
        <f>VLOOKUP($B209,API목록!$B$11:$C$39,2,0)</f>
        <v>이벤트목록조회</v>
      </c>
      <c r="D209" s="18">
        <v>10</v>
      </c>
      <c r="E209" s="32" t="s">
        <v>224</v>
      </c>
      <c r="F209" s="37" t="s">
        <v>325</v>
      </c>
      <c r="G209" s="40" t="s">
        <v>335</v>
      </c>
      <c r="H209" s="18" t="s">
        <v>277</v>
      </c>
      <c r="I209" s="18">
        <v>9</v>
      </c>
      <c r="J209" s="22" t="s">
        <v>95</v>
      </c>
      <c r="K209" s="22"/>
      <c r="L209" s="19"/>
      <c r="M209" s="40"/>
      <c r="N209" s="15" t="str">
        <f t="shared" si="3"/>
        <v xml:space="preserve">   ,"StaPageCnt" : 6</v>
      </c>
      <c r="O209" s="40">
        <v>6</v>
      </c>
    </row>
    <row r="210" spans="1:15" hidden="1">
      <c r="A210" s="15">
        <v>200</v>
      </c>
      <c r="B210" s="15" t="s">
        <v>182</v>
      </c>
      <c r="C210" s="33" t="str">
        <f>VLOOKUP($B210,API목록!$B$11:$C$39,2,0)</f>
        <v>이벤트목록조회</v>
      </c>
      <c r="D210" s="18">
        <v>11</v>
      </c>
      <c r="E210" s="32" t="s">
        <v>224</v>
      </c>
      <c r="F210" s="37" t="s">
        <v>101</v>
      </c>
      <c r="G210" s="40" t="s">
        <v>397</v>
      </c>
      <c r="H210" s="18" t="s">
        <v>381</v>
      </c>
      <c r="I210" s="18">
        <v>9</v>
      </c>
      <c r="J210" s="22" t="s">
        <v>95</v>
      </c>
      <c r="K210" s="22">
        <v>50</v>
      </c>
      <c r="L210" s="19"/>
      <c r="M210" s="40"/>
      <c r="N210" s="15" t="str">
        <f t="shared" si="3"/>
        <v xml:space="preserve">   ,"Seq" : 1</v>
      </c>
      <c r="O210" s="40">
        <v>1</v>
      </c>
    </row>
    <row r="211" spans="1:15" hidden="1">
      <c r="A211" s="15">
        <v>201</v>
      </c>
      <c r="B211" s="15" t="s">
        <v>182</v>
      </c>
      <c r="C211" s="33" t="str">
        <f>VLOOKUP($B211,API목록!$B$11:$C$39,2,0)</f>
        <v>이벤트목록조회</v>
      </c>
      <c r="D211" s="18">
        <v>12</v>
      </c>
      <c r="E211" s="32" t="s">
        <v>224</v>
      </c>
      <c r="F211" s="37" t="s">
        <v>237</v>
      </c>
      <c r="G211" s="40" t="s">
        <v>407</v>
      </c>
      <c r="H211" s="18" t="s">
        <v>381</v>
      </c>
      <c r="I211" s="18">
        <v>9</v>
      </c>
      <c r="J211" s="22" t="s">
        <v>95</v>
      </c>
      <c r="K211" s="22">
        <v>50</v>
      </c>
      <c r="L211" s="19"/>
      <c r="M211" s="40"/>
      <c r="N211" s="15" t="str">
        <f t="shared" si="3"/>
        <v xml:space="preserve">   ,"EvtNo" : 23</v>
      </c>
      <c r="O211" s="40">
        <v>23</v>
      </c>
    </row>
    <row r="212" spans="1:15" hidden="1">
      <c r="A212" s="15">
        <v>202</v>
      </c>
      <c r="B212" s="15" t="s">
        <v>182</v>
      </c>
      <c r="C212" s="33" t="str">
        <f>VLOOKUP($B212,API목록!$B$11:$C$39,2,0)</f>
        <v>이벤트목록조회</v>
      </c>
      <c r="D212" s="18">
        <v>13</v>
      </c>
      <c r="E212" s="32" t="s">
        <v>224</v>
      </c>
      <c r="F212" s="37" t="s">
        <v>260</v>
      </c>
      <c r="G212" s="40" t="s">
        <v>408</v>
      </c>
      <c r="H212" s="18" t="s">
        <v>374</v>
      </c>
      <c r="I212" s="18">
        <v>8</v>
      </c>
      <c r="J212" s="22" t="s">
        <v>95</v>
      </c>
      <c r="K212" s="22">
        <v>50</v>
      </c>
      <c r="L212" s="19"/>
      <c r="M212" s="40"/>
      <c r="N212" s="15" t="str">
        <f t="shared" si="3"/>
        <v xml:space="preserve">   ,"EvtStaDate" : "21/08/01"</v>
      </c>
      <c r="O212" s="41" t="s">
        <v>473</v>
      </c>
    </row>
    <row r="213" spans="1:15" hidden="1">
      <c r="A213" s="15">
        <v>203</v>
      </c>
      <c r="B213" s="15" t="s">
        <v>182</v>
      </c>
      <c r="C213" s="33" t="str">
        <f>VLOOKUP($B213,API목록!$B$11:$C$39,2,0)</f>
        <v>이벤트목록조회</v>
      </c>
      <c r="D213" s="18">
        <v>14</v>
      </c>
      <c r="E213" s="32" t="s">
        <v>224</v>
      </c>
      <c r="F213" s="37" t="s">
        <v>261</v>
      </c>
      <c r="G213" s="40" t="s">
        <v>409</v>
      </c>
      <c r="H213" s="18" t="s">
        <v>374</v>
      </c>
      <c r="I213" s="18">
        <v>8</v>
      </c>
      <c r="J213" s="22" t="s">
        <v>95</v>
      </c>
      <c r="K213" s="22">
        <v>50</v>
      </c>
      <c r="L213" s="19"/>
      <c r="M213" s="40"/>
      <c r="N213" s="15" t="str">
        <f t="shared" si="3"/>
        <v xml:space="preserve">   ,"EvtEndDate" : "21/08/31"</v>
      </c>
      <c r="O213" s="41" t="s">
        <v>474</v>
      </c>
    </row>
    <row r="214" spans="1:15" hidden="1">
      <c r="A214" s="15">
        <v>204</v>
      </c>
      <c r="B214" s="15" t="s">
        <v>182</v>
      </c>
      <c r="C214" s="33" t="str">
        <f>VLOOKUP($B214,API목록!$B$11:$C$39,2,0)</f>
        <v>이벤트목록조회</v>
      </c>
      <c r="D214" s="18">
        <v>15</v>
      </c>
      <c r="E214" s="32" t="s">
        <v>224</v>
      </c>
      <c r="F214" s="37" t="s">
        <v>262</v>
      </c>
      <c r="G214" s="40" t="s">
        <v>342</v>
      </c>
      <c r="H214" s="18" t="s">
        <v>1</v>
      </c>
      <c r="I214" s="18">
        <v>100</v>
      </c>
      <c r="J214" s="22" t="s">
        <v>95</v>
      </c>
      <c r="K214" s="22">
        <v>50</v>
      </c>
      <c r="L214" s="19"/>
      <c r="M214" s="40"/>
      <c r="N214" s="15" t="str">
        <f t="shared" si="3"/>
        <v xml:space="preserve">   ,"EvtKindNm" : "이벤트종류명"</v>
      </c>
      <c r="O214" s="40" t="s">
        <v>500</v>
      </c>
    </row>
    <row r="215" spans="1:15" hidden="1">
      <c r="A215" s="15">
        <v>205</v>
      </c>
      <c r="B215" s="15" t="s">
        <v>182</v>
      </c>
      <c r="C215" s="33" t="str">
        <f>VLOOKUP($B215,API목록!$B$11:$C$39,2,0)</f>
        <v>이벤트목록조회</v>
      </c>
      <c r="D215" s="18">
        <v>16</v>
      </c>
      <c r="E215" s="32" t="s">
        <v>224</v>
      </c>
      <c r="F215" s="37" t="s">
        <v>263</v>
      </c>
      <c r="G215" s="40" t="s">
        <v>410</v>
      </c>
      <c r="H215" s="18" t="s">
        <v>374</v>
      </c>
      <c r="I215" s="18">
        <v>300</v>
      </c>
      <c r="J215" s="22" t="s">
        <v>95</v>
      </c>
      <c r="K215" s="22">
        <v>50</v>
      </c>
      <c r="L215" s="19"/>
      <c r="M215" s="40"/>
      <c r="N215" s="15" t="str">
        <f t="shared" si="3"/>
        <v xml:space="preserve">   ,"EvtTitl" : "이벤트제목"</v>
      </c>
      <c r="O215" s="40" t="s">
        <v>501</v>
      </c>
    </row>
    <row r="216" spans="1:15" hidden="1">
      <c r="A216" s="15">
        <v>206</v>
      </c>
      <c r="B216" s="15" t="s">
        <v>182</v>
      </c>
      <c r="C216" s="33" t="str">
        <f>VLOOKUP($B216,API목록!$B$11:$C$39,2,0)</f>
        <v>이벤트목록조회</v>
      </c>
      <c r="D216" s="18">
        <v>17</v>
      </c>
      <c r="E216" s="32" t="s">
        <v>224</v>
      </c>
      <c r="F216" s="21" t="s">
        <v>264</v>
      </c>
      <c r="G216" s="40" t="s">
        <v>411</v>
      </c>
      <c r="H216" s="18" t="s">
        <v>374</v>
      </c>
      <c r="I216" s="18">
        <v>3000</v>
      </c>
      <c r="J216" s="22" t="s">
        <v>225</v>
      </c>
      <c r="K216" s="22">
        <v>50</v>
      </c>
      <c r="L216" s="19"/>
      <c r="M216" s="40"/>
      <c r="N216" s="15" t="str">
        <f t="shared" si="3"/>
        <v xml:space="preserve">   ,"EvtDesc" : "이벤트내용"   }
]}</v>
      </c>
      <c r="O216" s="40" t="s">
        <v>468</v>
      </c>
    </row>
    <row r="217" spans="1:15" hidden="1">
      <c r="A217" s="15">
        <v>207</v>
      </c>
      <c r="B217" s="15" t="s">
        <v>184</v>
      </c>
      <c r="C217" s="33" t="str">
        <f>VLOOKUP($B217,API목록!$B$11:$C$39,2,0)</f>
        <v>뉴스목록조회</v>
      </c>
      <c r="D217" s="18">
        <v>1</v>
      </c>
      <c r="E217" s="31" t="s">
        <v>437</v>
      </c>
      <c r="F217" s="40" t="s">
        <v>98</v>
      </c>
      <c r="G217" s="40" t="s">
        <v>323</v>
      </c>
      <c r="H217" s="18" t="s">
        <v>1</v>
      </c>
      <c r="I217" s="18">
        <v>3</v>
      </c>
      <c r="J217" s="22" t="s">
        <v>95</v>
      </c>
      <c r="K217" s="22"/>
      <c r="L217" s="40" t="s">
        <v>323</v>
      </c>
      <c r="M217" s="24" t="s">
        <v>322</v>
      </c>
      <c r="N217" s="15" t="str">
        <f t="shared" si="3"/>
        <v>{"ApiNewsInq":[
   {"UseLangCd" : "KOR"</v>
      </c>
      <c r="O217" s="24" t="s">
        <v>450</v>
      </c>
    </row>
    <row r="218" spans="1:15" hidden="1">
      <c r="A218" s="15">
        <v>208</v>
      </c>
      <c r="B218" s="15" t="s">
        <v>184</v>
      </c>
      <c r="C218" s="33" t="str">
        <f>VLOOKUP($B218,API목록!$B$11:$C$39,2,0)</f>
        <v>뉴스목록조회</v>
      </c>
      <c r="D218" s="18">
        <v>2</v>
      </c>
      <c r="E218" s="31" t="s">
        <v>437</v>
      </c>
      <c r="F218" s="37" t="s">
        <v>226</v>
      </c>
      <c r="G218" s="40" t="s">
        <v>373</v>
      </c>
      <c r="H218" s="18" t="s">
        <v>374</v>
      </c>
      <c r="I218" s="18">
        <v>20</v>
      </c>
      <c r="J218" s="22" t="s">
        <v>95</v>
      </c>
      <c r="K218" s="22"/>
      <c r="L218" s="19"/>
      <c r="M218" s="40"/>
      <c r="N218" s="15" t="str">
        <f t="shared" si="3"/>
        <v xml:space="preserve">   ,"UserPhnNo" : "01012345678"</v>
      </c>
      <c r="O218" s="24" t="s">
        <v>456</v>
      </c>
    </row>
    <row r="219" spans="1:15" hidden="1">
      <c r="A219" s="15">
        <v>209</v>
      </c>
      <c r="B219" s="15" t="s">
        <v>184</v>
      </c>
      <c r="C219" s="33" t="str">
        <f>VLOOKUP($B219,API목록!$B$11:$C$39,2,0)</f>
        <v>뉴스목록조회</v>
      </c>
      <c r="D219" s="18">
        <v>3</v>
      </c>
      <c r="E219" s="31" t="s">
        <v>437</v>
      </c>
      <c r="F219" s="21" t="s">
        <v>99</v>
      </c>
      <c r="G219" s="40" t="s">
        <v>97</v>
      </c>
      <c r="H219" s="18" t="s">
        <v>1</v>
      </c>
      <c r="I219" s="18">
        <v>3</v>
      </c>
      <c r="J219" s="22" t="s">
        <v>95</v>
      </c>
      <c r="K219" s="22"/>
      <c r="L219" s="40" t="s">
        <v>97</v>
      </c>
      <c r="M219" s="40"/>
      <c r="N219" s="15" t="str">
        <f t="shared" si="3"/>
        <v xml:space="preserve">   ,"PageReqPartCd" : "FWD"</v>
      </c>
      <c r="O219" s="40" t="s">
        <v>464</v>
      </c>
    </row>
    <row r="220" spans="1:15" hidden="1">
      <c r="A220" s="15">
        <v>210</v>
      </c>
      <c r="B220" s="15" t="s">
        <v>184</v>
      </c>
      <c r="C220" s="33" t="str">
        <f>VLOOKUP($B220,API목록!$B$11:$C$39,2,0)</f>
        <v>뉴스목록조회</v>
      </c>
      <c r="D220" s="18">
        <v>4</v>
      </c>
      <c r="E220" s="31" t="s">
        <v>437</v>
      </c>
      <c r="F220" s="37" t="s">
        <v>324</v>
      </c>
      <c r="G220" s="40" t="s">
        <v>333</v>
      </c>
      <c r="H220" s="18" t="s">
        <v>277</v>
      </c>
      <c r="I220" s="18">
        <v>9</v>
      </c>
      <c r="J220" s="22" t="s">
        <v>95</v>
      </c>
      <c r="K220" s="22"/>
      <c r="L220" s="19"/>
      <c r="M220" s="40"/>
      <c r="N220" s="15" t="str">
        <f t="shared" si="3"/>
        <v xml:space="preserve">   ,"BasePageCnt" : 1</v>
      </c>
      <c r="O220" s="40">
        <v>1</v>
      </c>
    </row>
    <row r="221" spans="1:15" hidden="1">
      <c r="A221" s="15">
        <v>211</v>
      </c>
      <c r="B221" s="15" t="s">
        <v>184</v>
      </c>
      <c r="C221" s="33" t="str">
        <f>VLOOKUP($B221,API목록!$B$11:$C$39,2,0)</f>
        <v>뉴스목록조회</v>
      </c>
      <c r="D221" s="18">
        <v>5</v>
      </c>
      <c r="E221" s="32" t="s">
        <v>224</v>
      </c>
      <c r="F221" s="40" t="s">
        <v>88</v>
      </c>
      <c r="G221" s="40" t="s">
        <v>303</v>
      </c>
      <c r="H221" s="18" t="s">
        <v>374</v>
      </c>
      <c r="I221" s="18">
        <v>7</v>
      </c>
      <c r="J221" s="22" t="s">
        <v>95</v>
      </c>
      <c r="K221" s="22"/>
      <c r="L221" s="16" t="s">
        <v>93</v>
      </c>
      <c r="M221" s="40"/>
      <c r="N221" s="15" t="str">
        <f t="shared" si="3"/>
        <v xml:space="preserve">   ,"ProcRsltCd" : "107-000"</v>
      </c>
      <c r="O221" s="24" t="s">
        <v>502</v>
      </c>
    </row>
    <row r="222" spans="1:15" hidden="1">
      <c r="A222" s="15">
        <v>212</v>
      </c>
      <c r="B222" s="15" t="s">
        <v>184</v>
      </c>
      <c r="C222" s="33" t="str">
        <f>VLOOKUP($B222,API목록!$B$11:$C$39,2,0)</f>
        <v>뉴스목록조회</v>
      </c>
      <c r="D222" s="18">
        <v>6</v>
      </c>
      <c r="E222" s="32" t="s">
        <v>224</v>
      </c>
      <c r="F222" s="40" t="s">
        <v>431</v>
      </c>
      <c r="G222" s="40" t="s">
        <v>430</v>
      </c>
      <c r="H222" s="18" t="s">
        <v>1</v>
      </c>
      <c r="I222" s="18">
        <v>1</v>
      </c>
      <c r="J222" s="22" t="s">
        <v>95</v>
      </c>
      <c r="K222" s="22"/>
      <c r="L222" s="19"/>
      <c r="M222" s="24" t="s">
        <v>434</v>
      </c>
      <c r="N222" s="15" t="str">
        <f t="shared" si="3"/>
        <v xml:space="preserve">   ,"RsltMsgPopupYN" : "Y"</v>
      </c>
      <c r="O222" s="24" t="s">
        <v>453</v>
      </c>
    </row>
    <row r="223" spans="1:15" hidden="1">
      <c r="A223" s="15">
        <v>213</v>
      </c>
      <c r="B223" s="15" t="s">
        <v>184</v>
      </c>
      <c r="C223" s="33" t="str">
        <f>VLOOKUP($B223,API목록!$B$11:$C$39,2,0)</f>
        <v>뉴스목록조회</v>
      </c>
      <c r="D223" s="18">
        <v>7</v>
      </c>
      <c r="E223" s="32" t="s">
        <v>224</v>
      </c>
      <c r="F223" s="40" t="s">
        <v>427</v>
      </c>
      <c r="G223" s="40" t="s">
        <v>428</v>
      </c>
      <c r="H223" s="18" t="s">
        <v>374</v>
      </c>
      <c r="I223" s="18">
        <v>300</v>
      </c>
      <c r="J223" s="22" t="s">
        <v>225</v>
      </c>
      <c r="K223" s="22"/>
      <c r="L223" s="19"/>
      <c r="M223" s="40"/>
      <c r="N223" s="15" t="str">
        <f t="shared" si="3"/>
        <v xml:space="preserve">   ,"RsltMsg" : "결과메시지"</v>
      </c>
      <c r="O223" s="24" t="s">
        <v>460</v>
      </c>
    </row>
    <row r="224" spans="1:15" hidden="1">
      <c r="A224" s="15">
        <v>214</v>
      </c>
      <c r="B224" s="15" t="s">
        <v>184</v>
      </c>
      <c r="C224" s="33" t="str">
        <f>VLOOKUP($B224,API목록!$B$11:$C$39,2,0)</f>
        <v>뉴스목록조회</v>
      </c>
      <c r="D224" s="18">
        <v>8</v>
      </c>
      <c r="E224" s="32" t="s">
        <v>224</v>
      </c>
      <c r="F224" s="37" t="s">
        <v>100</v>
      </c>
      <c r="G224" s="40" t="s">
        <v>330</v>
      </c>
      <c r="H224" s="18" t="s">
        <v>277</v>
      </c>
      <c r="I224" s="18">
        <v>9</v>
      </c>
      <c r="J224" s="22" t="s">
        <v>95</v>
      </c>
      <c r="K224" s="22"/>
      <c r="L224" s="19"/>
      <c r="M224" s="40"/>
      <c r="N224" s="15" t="str">
        <f t="shared" si="3"/>
        <v xml:space="preserve">   ,"TotCnt" : 999</v>
      </c>
      <c r="O224" s="40">
        <v>999</v>
      </c>
    </row>
    <row r="225" spans="1:15" hidden="1">
      <c r="A225" s="15">
        <v>215</v>
      </c>
      <c r="B225" s="15" t="s">
        <v>184</v>
      </c>
      <c r="C225" s="33" t="str">
        <f>VLOOKUP($B225,API목록!$B$11:$C$39,2,0)</f>
        <v>뉴스목록조회</v>
      </c>
      <c r="D225" s="18">
        <v>9</v>
      </c>
      <c r="E225" s="32" t="s">
        <v>224</v>
      </c>
      <c r="F225" s="37" t="s">
        <v>326</v>
      </c>
      <c r="G225" s="40" t="s">
        <v>331</v>
      </c>
      <c r="H225" s="18" t="s">
        <v>277</v>
      </c>
      <c r="I225" s="18">
        <v>9</v>
      </c>
      <c r="J225" s="22" t="s">
        <v>95</v>
      </c>
      <c r="K225" s="22"/>
      <c r="L225" s="19"/>
      <c r="M225" s="40"/>
      <c r="N225" s="15" t="str">
        <f t="shared" si="3"/>
        <v xml:space="preserve">   ,"TotPageCnt" : 13</v>
      </c>
      <c r="O225" s="40">
        <v>13</v>
      </c>
    </row>
    <row r="226" spans="1:15" hidden="1">
      <c r="A226" s="15">
        <v>216</v>
      </c>
      <c r="B226" s="15" t="s">
        <v>184</v>
      </c>
      <c r="C226" s="33" t="str">
        <f>VLOOKUP($B226,API목록!$B$11:$C$39,2,0)</f>
        <v>뉴스목록조회</v>
      </c>
      <c r="D226" s="18">
        <v>10</v>
      </c>
      <c r="E226" s="32" t="s">
        <v>224</v>
      </c>
      <c r="F226" s="37" t="s">
        <v>325</v>
      </c>
      <c r="G226" s="40" t="s">
        <v>335</v>
      </c>
      <c r="H226" s="18" t="s">
        <v>277</v>
      </c>
      <c r="I226" s="18">
        <v>9</v>
      </c>
      <c r="J226" s="22" t="s">
        <v>95</v>
      </c>
      <c r="K226" s="22"/>
      <c r="L226" s="19"/>
      <c r="M226" s="40"/>
      <c r="N226" s="15" t="str">
        <f t="shared" si="3"/>
        <v xml:space="preserve">   ,"StaPageCnt" : 6</v>
      </c>
      <c r="O226" s="40">
        <v>6</v>
      </c>
    </row>
    <row r="227" spans="1:15" hidden="1">
      <c r="A227" s="15">
        <v>217</v>
      </c>
      <c r="B227" s="15" t="s">
        <v>184</v>
      </c>
      <c r="C227" s="33" t="str">
        <f>VLOOKUP($B227,API목록!$B$11:$C$39,2,0)</f>
        <v>뉴스목록조회</v>
      </c>
      <c r="D227" s="18">
        <v>11</v>
      </c>
      <c r="E227" s="32" t="s">
        <v>224</v>
      </c>
      <c r="F227" s="37" t="s">
        <v>101</v>
      </c>
      <c r="G227" s="40" t="s">
        <v>397</v>
      </c>
      <c r="H227" s="18" t="s">
        <v>381</v>
      </c>
      <c r="I227" s="18">
        <v>9</v>
      </c>
      <c r="J227" s="22" t="s">
        <v>95</v>
      </c>
      <c r="K227" s="22">
        <v>50</v>
      </c>
      <c r="L227" s="19"/>
      <c r="M227" s="40"/>
      <c r="N227" s="15" t="str">
        <f t="shared" si="3"/>
        <v xml:space="preserve">   ,"Seq" : 1</v>
      </c>
      <c r="O227" s="40">
        <v>1</v>
      </c>
    </row>
    <row r="228" spans="1:15" hidden="1">
      <c r="A228" s="15">
        <v>218</v>
      </c>
      <c r="B228" s="15" t="s">
        <v>184</v>
      </c>
      <c r="C228" s="33" t="str">
        <f>VLOOKUP($B228,API목록!$B$11:$C$39,2,0)</f>
        <v>뉴스목록조회</v>
      </c>
      <c r="D228" s="18">
        <v>12</v>
      </c>
      <c r="E228" s="32" t="s">
        <v>224</v>
      </c>
      <c r="F228" s="37" t="s">
        <v>238</v>
      </c>
      <c r="G228" s="40" t="s">
        <v>412</v>
      </c>
      <c r="H228" s="18" t="s">
        <v>381</v>
      </c>
      <c r="I228" s="18">
        <v>9</v>
      </c>
      <c r="J228" s="22" t="s">
        <v>95</v>
      </c>
      <c r="K228" s="22">
        <v>50</v>
      </c>
      <c r="L228" s="19"/>
      <c r="M228" s="40"/>
      <c r="N228" s="15" t="str">
        <f t="shared" si="3"/>
        <v xml:space="preserve">   ,"NewsNo" : 24</v>
      </c>
      <c r="O228" s="40">
        <v>24</v>
      </c>
    </row>
    <row r="229" spans="1:15" hidden="1">
      <c r="A229" s="15">
        <v>219</v>
      </c>
      <c r="B229" s="15" t="s">
        <v>184</v>
      </c>
      <c r="C229" s="33" t="str">
        <f>VLOOKUP($B229,API목록!$B$11:$C$39,2,0)</f>
        <v>뉴스목록조회</v>
      </c>
      <c r="D229" s="18">
        <v>13</v>
      </c>
      <c r="E229" s="32" t="s">
        <v>224</v>
      </c>
      <c r="F229" s="37" t="s">
        <v>265</v>
      </c>
      <c r="G229" s="40" t="s">
        <v>413</v>
      </c>
      <c r="H229" s="18" t="s">
        <v>374</v>
      </c>
      <c r="I229" s="18">
        <v>8</v>
      </c>
      <c r="J229" s="22" t="s">
        <v>95</v>
      </c>
      <c r="K229" s="22">
        <v>50</v>
      </c>
      <c r="L229" s="19"/>
      <c r="M229" s="40"/>
      <c r="N229" s="15" t="str">
        <f t="shared" si="3"/>
        <v xml:space="preserve">   ,"NewsStaDate" : "21/08/01"</v>
      </c>
      <c r="O229" s="41" t="s">
        <v>473</v>
      </c>
    </row>
    <row r="230" spans="1:15" hidden="1">
      <c r="A230" s="15">
        <v>220</v>
      </c>
      <c r="B230" s="15" t="s">
        <v>184</v>
      </c>
      <c r="C230" s="33" t="str">
        <f>VLOOKUP($B230,API목록!$B$11:$C$39,2,0)</f>
        <v>뉴스목록조회</v>
      </c>
      <c r="D230" s="18">
        <v>14</v>
      </c>
      <c r="E230" s="32" t="s">
        <v>224</v>
      </c>
      <c r="F230" s="37" t="s">
        <v>266</v>
      </c>
      <c r="G230" s="40" t="s">
        <v>414</v>
      </c>
      <c r="H230" s="18" t="s">
        <v>374</v>
      </c>
      <c r="I230" s="18">
        <v>8</v>
      </c>
      <c r="J230" s="22" t="s">
        <v>95</v>
      </c>
      <c r="K230" s="22">
        <v>50</v>
      </c>
      <c r="L230" s="19"/>
      <c r="M230" s="40"/>
      <c r="N230" s="15" t="str">
        <f t="shared" si="3"/>
        <v xml:space="preserve">   ,"NewsEndDate" : "21/08/31"</v>
      </c>
      <c r="O230" s="41" t="s">
        <v>474</v>
      </c>
    </row>
    <row r="231" spans="1:15" hidden="1">
      <c r="A231" s="15">
        <v>221</v>
      </c>
      <c r="B231" s="15" t="s">
        <v>184</v>
      </c>
      <c r="C231" s="33" t="str">
        <f>VLOOKUP($B231,API목록!$B$11:$C$39,2,0)</f>
        <v>뉴스목록조회</v>
      </c>
      <c r="D231" s="18">
        <v>15</v>
      </c>
      <c r="E231" s="32" t="s">
        <v>224</v>
      </c>
      <c r="F231" s="37" t="s">
        <v>267</v>
      </c>
      <c r="G231" s="40" t="s">
        <v>415</v>
      </c>
      <c r="H231" s="18" t="s">
        <v>374</v>
      </c>
      <c r="I231" s="18">
        <v>300</v>
      </c>
      <c r="J231" s="22" t="s">
        <v>95</v>
      </c>
      <c r="K231" s="22">
        <v>50</v>
      </c>
      <c r="L231" s="19"/>
      <c r="M231" s="40"/>
      <c r="N231" s="15" t="str">
        <f t="shared" si="3"/>
        <v xml:space="preserve">   ,"NewsTitl" : "뉴스제목"</v>
      </c>
      <c r="O231" s="40" t="s">
        <v>503</v>
      </c>
    </row>
    <row r="232" spans="1:15" hidden="1">
      <c r="A232" s="15">
        <v>222</v>
      </c>
      <c r="B232" s="15" t="s">
        <v>184</v>
      </c>
      <c r="C232" s="33" t="str">
        <f>VLOOKUP($B232,API목록!$B$11:$C$39,2,0)</f>
        <v>뉴스목록조회</v>
      </c>
      <c r="D232" s="18">
        <v>16</v>
      </c>
      <c r="E232" s="32" t="s">
        <v>224</v>
      </c>
      <c r="F232" s="21" t="s">
        <v>268</v>
      </c>
      <c r="G232" s="40" t="s">
        <v>416</v>
      </c>
      <c r="H232" s="18" t="s">
        <v>374</v>
      </c>
      <c r="I232" s="18">
        <v>3000</v>
      </c>
      <c r="J232" s="22" t="s">
        <v>225</v>
      </c>
      <c r="K232" s="22">
        <v>50</v>
      </c>
      <c r="L232" s="19"/>
      <c r="M232" s="40"/>
      <c r="N232" s="15" t="str">
        <f t="shared" si="3"/>
        <v xml:space="preserve">   ,"NewsDesc" : "뉴스내용"   }
]}</v>
      </c>
      <c r="O232" s="40" t="s">
        <v>469</v>
      </c>
    </row>
    <row r="233" spans="1:15" hidden="1">
      <c r="A233" s="15">
        <v>223</v>
      </c>
      <c r="B233" s="15" t="s">
        <v>186</v>
      </c>
      <c r="C233" s="33" t="str">
        <f>VLOOKUP($B233,API목록!$B$11:$C$39,2,0)</f>
        <v>문의목록조회</v>
      </c>
      <c r="D233" s="18">
        <v>1</v>
      </c>
      <c r="E233" s="31" t="s">
        <v>437</v>
      </c>
      <c r="F233" s="40" t="s">
        <v>98</v>
      </c>
      <c r="G233" s="40" t="s">
        <v>323</v>
      </c>
      <c r="H233" s="18" t="s">
        <v>1</v>
      </c>
      <c r="I233" s="18">
        <v>3</v>
      </c>
      <c r="J233" s="22" t="s">
        <v>95</v>
      </c>
      <c r="K233" s="22"/>
      <c r="L233" s="40" t="s">
        <v>323</v>
      </c>
      <c r="M233" s="24" t="s">
        <v>322</v>
      </c>
      <c r="N233" s="15" t="str">
        <f t="shared" si="3"/>
        <v>{"ApiQuestionInq":[
   {"UseLangCd" : "KOR"</v>
      </c>
      <c r="O233" s="24" t="s">
        <v>450</v>
      </c>
    </row>
    <row r="234" spans="1:15" hidden="1">
      <c r="A234" s="15">
        <v>224</v>
      </c>
      <c r="B234" s="15" t="s">
        <v>186</v>
      </c>
      <c r="C234" s="33" t="str">
        <f>VLOOKUP($B234,API목록!$B$11:$C$39,2,0)</f>
        <v>문의목록조회</v>
      </c>
      <c r="D234" s="18">
        <v>2</v>
      </c>
      <c r="E234" s="31" t="s">
        <v>437</v>
      </c>
      <c r="F234" s="37" t="s">
        <v>226</v>
      </c>
      <c r="G234" s="40" t="s">
        <v>373</v>
      </c>
      <c r="H234" s="18" t="s">
        <v>374</v>
      </c>
      <c r="I234" s="18">
        <v>20</v>
      </c>
      <c r="J234" s="22" t="s">
        <v>95</v>
      </c>
      <c r="K234" s="22"/>
      <c r="L234" s="19"/>
      <c r="M234" s="40"/>
      <c r="N234" s="15" t="str">
        <f t="shared" si="3"/>
        <v xml:space="preserve">   ,"UserPhnNo" : "01012345678"</v>
      </c>
      <c r="O234" s="24" t="s">
        <v>456</v>
      </c>
    </row>
    <row r="235" spans="1:15" hidden="1">
      <c r="A235" s="15">
        <v>225</v>
      </c>
      <c r="B235" s="15" t="s">
        <v>186</v>
      </c>
      <c r="C235" s="33" t="str">
        <f>VLOOKUP($B235,API목록!$B$11:$C$39,2,0)</f>
        <v>문의목록조회</v>
      </c>
      <c r="D235" s="18">
        <v>3</v>
      </c>
      <c r="E235" s="31" t="s">
        <v>437</v>
      </c>
      <c r="F235" s="21" t="s">
        <v>99</v>
      </c>
      <c r="G235" s="40" t="s">
        <v>97</v>
      </c>
      <c r="H235" s="18" t="s">
        <v>1</v>
      </c>
      <c r="I235" s="18">
        <v>3</v>
      </c>
      <c r="J235" s="22" t="s">
        <v>95</v>
      </c>
      <c r="K235" s="22"/>
      <c r="L235" s="40" t="s">
        <v>97</v>
      </c>
      <c r="M235" s="40"/>
      <c r="N235" s="15" t="str">
        <f t="shared" si="3"/>
        <v xml:space="preserve">   ,"PageReqPartCd" : "FWD"</v>
      </c>
      <c r="O235" s="40" t="s">
        <v>464</v>
      </c>
    </row>
    <row r="236" spans="1:15" hidden="1">
      <c r="A236" s="15">
        <v>226</v>
      </c>
      <c r="B236" s="15" t="s">
        <v>186</v>
      </c>
      <c r="C236" s="33" t="str">
        <f>VLOOKUP($B236,API목록!$B$11:$C$39,2,0)</f>
        <v>문의목록조회</v>
      </c>
      <c r="D236" s="18">
        <v>4</v>
      </c>
      <c r="E236" s="31" t="s">
        <v>437</v>
      </c>
      <c r="F236" s="21" t="s">
        <v>324</v>
      </c>
      <c r="G236" s="40" t="s">
        <v>333</v>
      </c>
      <c r="H236" s="18" t="s">
        <v>277</v>
      </c>
      <c r="I236" s="18">
        <v>9</v>
      </c>
      <c r="J236" s="22" t="s">
        <v>95</v>
      </c>
      <c r="K236" s="22"/>
      <c r="L236" s="19"/>
      <c r="M236" s="40"/>
      <c r="N236" s="15" t="str">
        <f t="shared" si="3"/>
        <v xml:space="preserve">   ,"BasePageCnt" : 1</v>
      </c>
      <c r="O236" s="40">
        <v>1</v>
      </c>
    </row>
    <row r="237" spans="1:15" hidden="1">
      <c r="A237" s="15">
        <v>227</v>
      </c>
      <c r="B237" s="15" t="s">
        <v>186</v>
      </c>
      <c r="C237" s="33" t="str">
        <f>VLOOKUP($B237,API목록!$B$11:$C$39,2,0)</f>
        <v>문의목록조회</v>
      </c>
      <c r="D237" s="18">
        <v>5</v>
      </c>
      <c r="E237" s="32" t="s">
        <v>224</v>
      </c>
      <c r="F237" s="40" t="s">
        <v>88</v>
      </c>
      <c r="G237" s="40" t="s">
        <v>303</v>
      </c>
      <c r="H237" s="18" t="s">
        <v>374</v>
      </c>
      <c r="I237" s="18">
        <v>7</v>
      </c>
      <c r="J237" s="22" t="s">
        <v>95</v>
      </c>
      <c r="K237" s="22"/>
      <c r="L237" s="16" t="s">
        <v>93</v>
      </c>
      <c r="M237" s="40"/>
      <c r="N237" s="15" t="str">
        <f t="shared" si="3"/>
        <v xml:space="preserve">   ,"ProcRsltCd" : "108-000"</v>
      </c>
      <c r="O237" s="24" t="s">
        <v>504</v>
      </c>
    </row>
    <row r="238" spans="1:15" hidden="1">
      <c r="A238" s="15">
        <v>228</v>
      </c>
      <c r="B238" s="15" t="s">
        <v>186</v>
      </c>
      <c r="C238" s="33" t="str">
        <f>VLOOKUP($B238,API목록!$B$11:$C$39,2,0)</f>
        <v>문의목록조회</v>
      </c>
      <c r="D238" s="18">
        <v>6</v>
      </c>
      <c r="E238" s="32" t="s">
        <v>224</v>
      </c>
      <c r="F238" s="40" t="s">
        <v>431</v>
      </c>
      <c r="G238" s="40" t="s">
        <v>430</v>
      </c>
      <c r="H238" s="18" t="s">
        <v>1</v>
      </c>
      <c r="I238" s="18">
        <v>1</v>
      </c>
      <c r="J238" s="22" t="s">
        <v>95</v>
      </c>
      <c r="K238" s="22"/>
      <c r="L238" s="19"/>
      <c r="M238" s="24" t="s">
        <v>434</v>
      </c>
      <c r="N238" s="15" t="str">
        <f t="shared" si="3"/>
        <v xml:space="preserve">   ,"RsltMsgPopupYN" : "Y"</v>
      </c>
      <c r="O238" s="24" t="s">
        <v>453</v>
      </c>
    </row>
    <row r="239" spans="1:15" hidden="1">
      <c r="A239" s="15">
        <v>229</v>
      </c>
      <c r="B239" s="15" t="s">
        <v>186</v>
      </c>
      <c r="C239" s="33" t="str">
        <f>VLOOKUP($B239,API목록!$B$11:$C$39,2,0)</f>
        <v>문의목록조회</v>
      </c>
      <c r="D239" s="18">
        <v>7</v>
      </c>
      <c r="E239" s="32" t="s">
        <v>224</v>
      </c>
      <c r="F239" s="40" t="s">
        <v>427</v>
      </c>
      <c r="G239" s="40" t="s">
        <v>428</v>
      </c>
      <c r="H239" s="18" t="s">
        <v>374</v>
      </c>
      <c r="I239" s="18">
        <v>300</v>
      </c>
      <c r="J239" s="22" t="s">
        <v>225</v>
      </c>
      <c r="K239" s="22"/>
      <c r="L239" s="19"/>
      <c r="M239" s="40"/>
      <c r="N239" s="15" t="str">
        <f t="shared" si="3"/>
        <v xml:space="preserve">   ,"RsltMsg" : "결과메시지"</v>
      </c>
      <c r="O239" s="24" t="s">
        <v>460</v>
      </c>
    </row>
    <row r="240" spans="1:15" hidden="1">
      <c r="A240" s="15">
        <v>230</v>
      </c>
      <c r="B240" s="15" t="s">
        <v>186</v>
      </c>
      <c r="C240" s="33" t="str">
        <f>VLOOKUP($B240,API목록!$B$11:$C$39,2,0)</f>
        <v>문의목록조회</v>
      </c>
      <c r="D240" s="18">
        <v>8</v>
      </c>
      <c r="E240" s="32" t="s">
        <v>224</v>
      </c>
      <c r="F240" s="37" t="s">
        <v>100</v>
      </c>
      <c r="G240" s="40" t="s">
        <v>330</v>
      </c>
      <c r="H240" s="18" t="s">
        <v>277</v>
      </c>
      <c r="I240" s="18">
        <v>9</v>
      </c>
      <c r="J240" s="22" t="s">
        <v>95</v>
      </c>
      <c r="K240" s="22"/>
      <c r="L240" s="19"/>
      <c r="M240" s="40"/>
      <c r="N240" s="15" t="str">
        <f t="shared" si="3"/>
        <v xml:space="preserve">   ,"TotCnt" : 999</v>
      </c>
      <c r="O240" s="40">
        <v>999</v>
      </c>
    </row>
    <row r="241" spans="1:15" hidden="1">
      <c r="A241" s="15">
        <v>231</v>
      </c>
      <c r="B241" s="15" t="s">
        <v>186</v>
      </c>
      <c r="C241" s="33" t="str">
        <f>VLOOKUP($B241,API목록!$B$11:$C$39,2,0)</f>
        <v>문의목록조회</v>
      </c>
      <c r="D241" s="18">
        <v>9</v>
      </c>
      <c r="E241" s="32" t="s">
        <v>224</v>
      </c>
      <c r="F241" s="37" t="s">
        <v>326</v>
      </c>
      <c r="G241" s="40" t="s">
        <v>331</v>
      </c>
      <c r="H241" s="18" t="s">
        <v>277</v>
      </c>
      <c r="I241" s="18">
        <v>9</v>
      </c>
      <c r="J241" s="22" t="s">
        <v>95</v>
      </c>
      <c r="K241" s="22"/>
      <c r="L241" s="19"/>
      <c r="M241" s="40"/>
      <c r="N241" s="15" t="str">
        <f t="shared" si="3"/>
        <v xml:space="preserve">   ,"TotPageCnt" : 13</v>
      </c>
      <c r="O241" s="40">
        <v>13</v>
      </c>
    </row>
    <row r="242" spans="1:15" hidden="1">
      <c r="A242" s="15">
        <v>232</v>
      </c>
      <c r="B242" s="15" t="s">
        <v>186</v>
      </c>
      <c r="C242" s="33" t="str">
        <f>VLOOKUP($B242,API목록!$B$11:$C$39,2,0)</f>
        <v>문의목록조회</v>
      </c>
      <c r="D242" s="18">
        <v>10</v>
      </c>
      <c r="E242" s="32" t="s">
        <v>224</v>
      </c>
      <c r="F242" s="37" t="s">
        <v>325</v>
      </c>
      <c r="G242" s="40" t="s">
        <v>335</v>
      </c>
      <c r="H242" s="18" t="s">
        <v>277</v>
      </c>
      <c r="I242" s="18">
        <v>9</v>
      </c>
      <c r="J242" s="22" t="s">
        <v>95</v>
      </c>
      <c r="K242" s="22"/>
      <c r="L242" s="19"/>
      <c r="M242" s="40"/>
      <c r="N242" s="15" t="str">
        <f t="shared" si="3"/>
        <v xml:space="preserve">   ,"StaPageCnt" : 6</v>
      </c>
      <c r="O242" s="40">
        <v>6</v>
      </c>
    </row>
    <row r="243" spans="1:15" hidden="1">
      <c r="A243" s="15">
        <v>233</v>
      </c>
      <c r="B243" s="15" t="s">
        <v>186</v>
      </c>
      <c r="C243" s="33" t="str">
        <f>VLOOKUP($B243,API목록!$B$11:$C$39,2,0)</f>
        <v>문의목록조회</v>
      </c>
      <c r="D243" s="18">
        <v>11</v>
      </c>
      <c r="E243" s="32" t="s">
        <v>224</v>
      </c>
      <c r="F243" s="37" t="s">
        <v>101</v>
      </c>
      <c r="G243" s="40" t="s">
        <v>397</v>
      </c>
      <c r="H243" s="18" t="s">
        <v>381</v>
      </c>
      <c r="I243" s="18">
        <v>9</v>
      </c>
      <c r="J243" s="22" t="s">
        <v>95</v>
      </c>
      <c r="K243" s="22">
        <v>50</v>
      </c>
      <c r="L243" s="19"/>
      <c r="M243" s="40"/>
      <c r="N243" s="15" t="str">
        <f t="shared" si="3"/>
        <v xml:space="preserve">   ,"Seq" : 1</v>
      </c>
      <c r="O243" s="40">
        <v>1</v>
      </c>
    </row>
    <row r="244" spans="1:15" hidden="1">
      <c r="A244" s="15">
        <v>234</v>
      </c>
      <c r="B244" s="15" t="s">
        <v>186</v>
      </c>
      <c r="C244" s="33" t="str">
        <f>VLOOKUP($B244,API목록!$B$11:$C$39,2,0)</f>
        <v>문의목록조회</v>
      </c>
      <c r="D244" s="18">
        <v>12</v>
      </c>
      <c r="E244" s="32" t="s">
        <v>224</v>
      </c>
      <c r="F244" s="37" t="s">
        <v>239</v>
      </c>
      <c r="G244" s="40" t="s">
        <v>417</v>
      </c>
      <c r="H244" s="18" t="s">
        <v>381</v>
      </c>
      <c r="I244" s="18">
        <v>9</v>
      </c>
      <c r="J244" s="22" t="s">
        <v>95</v>
      </c>
      <c r="K244" s="22">
        <v>50</v>
      </c>
      <c r="L244" s="19"/>
      <c r="M244" s="40"/>
      <c r="N244" s="15" t="str">
        <f t="shared" si="3"/>
        <v xml:space="preserve">   ,"InqNo" : 25</v>
      </c>
      <c r="O244" s="40">
        <v>25</v>
      </c>
    </row>
    <row r="245" spans="1:15" hidden="1">
      <c r="A245" s="15">
        <v>235</v>
      </c>
      <c r="B245" s="15" t="s">
        <v>186</v>
      </c>
      <c r="C245" s="33" t="str">
        <f>VLOOKUP($B245,API목록!$B$11:$C$39,2,0)</f>
        <v>문의목록조회</v>
      </c>
      <c r="D245" s="18">
        <v>13</v>
      </c>
      <c r="E245" s="32" t="s">
        <v>224</v>
      </c>
      <c r="F245" s="37" t="s">
        <v>269</v>
      </c>
      <c r="G245" s="40" t="s">
        <v>418</v>
      </c>
      <c r="H245" s="18" t="s">
        <v>374</v>
      </c>
      <c r="I245" s="18">
        <v>8</v>
      </c>
      <c r="J245" s="22" t="s">
        <v>95</v>
      </c>
      <c r="K245" s="22">
        <v>50</v>
      </c>
      <c r="L245" s="19"/>
      <c r="M245" s="40"/>
      <c r="N245" s="15" t="str">
        <f t="shared" si="3"/>
        <v xml:space="preserve">   ,"InqDate" : "21/08/01"</v>
      </c>
      <c r="O245" s="41" t="s">
        <v>473</v>
      </c>
    </row>
    <row r="246" spans="1:15" ht="17" hidden="1">
      <c r="A246" s="15">
        <v>236</v>
      </c>
      <c r="B246" s="15" t="s">
        <v>186</v>
      </c>
      <c r="C246" s="33" t="str">
        <f>VLOOKUP($B246,API목록!$B$11:$C$39,2,0)</f>
        <v>문의목록조회</v>
      </c>
      <c r="D246" s="18">
        <v>14</v>
      </c>
      <c r="E246" s="32" t="s">
        <v>224</v>
      </c>
      <c r="F246" s="37" t="s">
        <v>242</v>
      </c>
      <c r="G246" s="40" t="s">
        <v>419</v>
      </c>
      <c r="H246" s="18" t="s">
        <v>374</v>
      </c>
      <c r="I246" s="18">
        <v>50</v>
      </c>
      <c r="J246" s="22" t="s">
        <v>95</v>
      </c>
      <c r="K246" s="22">
        <v>50</v>
      </c>
      <c r="L246" s="19"/>
      <c r="M246" s="40"/>
      <c r="N246" s="15" t="str">
        <f t="shared" si="3"/>
        <v xml:space="preserve">   ,"Email" : "email@email.com"</v>
      </c>
      <c r="O246" s="45" t="s">
        <v>475</v>
      </c>
    </row>
    <row r="247" spans="1:15" hidden="1">
      <c r="A247" s="15">
        <v>237</v>
      </c>
      <c r="B247" s="15" t="s">
        <v>186</v>
      </c>
      <c r="C247" s="33" t="str">
        <f>VLOOKUP($B247,API목록!$B$11:$C$39,2,0)</f>
        <v>문의목록조회</v>
      </c>
      <c r="D247" s="18">
        <v>15</v>
      </c>
      <c r="E247" s="32" t="s">
        <v>224</v>
      </c>
      <c r="F247" s="37" t="s">
        <v>270</v>
      </c>
      <c r="G247" s="40" t="s">
        <v>420</v>
      </c>
      <c r="H247" s="18" t="s">
        <v>374</v>
      </c>
      <c r="I247" s="18">
        <v>300</v>
      </c>
      <c r="J247" s="22" t="s">
        <v>95</v>
      </c>
      <c r="K247" s="22">
        <v>50</v>
      </c>
      <c r="L247" s="19"/>
      <c r="M247" s="40"/>
      <c r="N247" s="15" t="str">
        <f t="shared" si="3"/>
        <v xml:space="preserve">   ,"InqTitl" : "문의제목"</v>
      </c>
      <c r="O247" s="40" t="s">
        <v>505</v>
      </c>
    </row>
    <row r="248" spans="1:15" hidden="1">
      <c r="A248" s="15">
        <v>238</v>
      </c>
      <c r="B248" s="15" t="s">
        <v>186</v>
      </c>
      <c r="C248" s="33" t="str">
        <f>VLOOKUP($B248,API목록!$B$11:$C$39,2,0)</f>
        <v>문의목록조회</v>
      </c>
      <c r="D248" s="18">
        <v>16</v>
      </c>
      <c r="E248" s="32" t="s">
        <v>224</v>
      </c>
      <c r="F248" s="37" t="s">
        <v>235</v>
      </c>
      <c r="G248" s="40" t="s">
        <v>420</v>
      </c>
      <c r="H248" s="18" t="s">
        <v>374</v>
      </c>
      <c r="I248" s="18">
        <v>500</v>
      </c>
      <c r="J248" s="22" t="s">
        <v>95</v>
      </c>
      <c r="K248" s="22">
        <v>50</v>
      </c>
      <c r="L248" s="19"/>
      <c r="M248" s="40"/>
      <c r="N248" s="15" t="str">
        <f t="shared" si="3"/>
        <v xml:space="preserve">   ,"InqTitl" : "문의내용"</v>
      </c>
      <c r="O248" s="40" t="s">
        <v>470</v>
      </c>
    </row>
    <row r="249" spans="1:15" hidden="1">
      <c r="A249" s="15">
        <v>239</v>
      </c>
      <c r="B249" s="15" t="s">
        <v>186</v>
      </c>
      <c r="C249" s="33" t="str">
        <f>VLOOKUP($B249,API목록!$B$11:$C$39,2,0)</f>
        <v>문의목록조회</v>
      </c>
      <c r="D249" s="18">
        <v>17</v>
      </c>
      <c r="E249" s="32" t="s">
        <v>224</v>
      </c>
      <c r="F249" s="37" t="s">
        <v>271</v>
      </c>
      <c r="G249" s="40" t="s">
        <v>421</v>
      </c>
      <c r="H249" s="18" t="s">
        <v>374</v>
      </c>
      <c r="I249" s="18">
        <v>8</v>
      </c>
      <c r="J249" s="22" t="s">
        <v>95</v>
      </c>
      <c r="K249" s="22">
        <v>50</v>
      </c>
      <c r="L249" s="19"/>
      <c r="M249" s="40"/>
      <c r="N249" s="15" t="str">
        <f t="shared" si="3"/>
        <v xml:space="preserve">   ,"AnsDate" : "21/08/01"</v>
      </c>
      <c r="O249" s="41" t="s">
        <v>473</v>
      </c>
    </row>
    <row r="250" spans="1:15" hidden="1">
      <c r="A250" s="15">
        <v>240</v>
      </c>
      <c r="B250" s="15" t="s">
        <v>186</v>
      </c>
      <c r="C250" s="33" t="str">
        <f>VLOOKUP($B250,API목록!$B$11:$C$39,2,0)</f>
        <v>문의목록조회</v>
      </c>
      <c r="D250" s="18">
        <v>18</v>
      </c>
      <c r="E250" s="32" t="s">
        <v>224</v>
      </c>
      <c r="F250" s="21" t="s">
        <v>272</v>
      </c>
      <c r="G250" s="15" t="s">
        <v>343</v>
      </c>
      <c r="H250" s="18" t="s">
        <v>1</v>
      </c>
      <c r="I250" s="18">
        <v>100</v>
      </c>
      <c r="J250" s="22" t="s">
        <v>95</v>
      </c>
      <c r="K250" s="22">
        <v>50</v>
      </c>
      <c r="L250" s="19"/>
      <c r="M250" s="40"/>
      <c r="N250" s="15" t="str">
        <f t="shared" si="3"/>
        <v xml:space="preserve">   ,"AnsStatNm" : "답변상태명"   }
]}</v>
      </c>
      <c r="O250" s="40" t="s">
        <v>506</v>
      </c>
    </row>
    <row r="251" spans="1:15" hidden="1">
      <c r="A251" s="15">
        <v>241</v>
      </c>
      <c r="B251" s="15" t="s">
        <v>188</v>
      </c>
      <c r="C251" s="33" t="str">
        <f>VLOOKUP($B251,API목록!$B$11:$C$39,2,0)</f>
        <v>FAQ목록조회</v>
      </c>
      <c r="D251" s="18">
        <v>1</v>
      </c>
      <c r="E251" s="31" t="s">
        <v>437</v>
      </c>
      <c r="F251" s="40" t="s">
        <v>98</v>
      </c>
      <c r="G251" s="40" t="s">
        <v>323</v>
      </c>
      <c r="H251" s="18" t="s">
        <v>1</v>
      </c>
      <c r="I251" s="18">
        <v>3</v>
      </c>
      <c r="J251" s="22" t="s">
        <v>95</v>
      </c>
      <c r="K251" s="22"/>
      <c r="L251" s="40" t="s">
        <v>323</v>
      </c>
      <c r="M251" s="24" t="s">
        <v>322</v>
      </c>
      <c r="N251" s="15" t="str">
        <f t="shared" si="3"/>
        <v>{"ApiFAQInq":[
   {"UseLangCd" : "KOR"</v>
      </c>
      <c r="O251" s="24" t="s">
        <v>450</v>
      </c>
    </row>
    <row r="252" spans="1:15" hidden="1">
      <c r="A252" s="15">
        <v>242</v>
      </c>
      <c r="B252" s="15" t="s">
        <v>188</v>
      </c>
      <c r="C252" s="33" t="str">
        <f>VLOOKUP($B252,API목록!$B$11:$C$39,2,0)</f>
        <v>FAQ목록조회</v>
      </c>
      <c r="D252" s="18">
        <v>2</v>
      </c>
      <c r="E252" s="31" t="s">
        <v>437</v>
      </c>
      <c r="F252" s="37" t="s">
        <v>226</v>
      </c>
      <c r="G252" s="40" t="s">
        <v>373</v>
      </c>
      <c r="H252" s="18" t="s">
        <v>374</v>
      </c>
      <c r="I252" s="18">
        <v>20</v>
      </c>
      <c r="J252" s="22" t="s">
        <v>95</v>
      </c>
      <c r="K252" s="22"/>
      <c r="L252" s="19"/>
      <c r="M252" s="40"/>
      <c r="N252" s="15" t="str">
        <f t="shared" si="3"/>
        <v xml:space="preserve">   ,"UserPhnNo" : "01012345678"</v>
      </c>
      <c r="O252" s="24" t="s">
        <v>456</v>
      </c>
    </row>
    <row r="253" spans="1:15" hidden="1">
      <c r="A253" s="15">
        <v>243</v>
      </c>
      <c r="B253" s="15" t="s">
        <v>188</v>
      </c>
      <c r="C253" s="33" t="str">
        <f>VLOOKUP($B253,API목록!$B$11:$C$39,2,0)</f>
        <v>FAQ목록조회</v>
      </c>
      <c r="D253" s="18">
        <v>3</v>
      </c>
      <c r="E253" s="31" t="s">
        <v>437</v>
      </c>
      <c r="F253" s="37" t="s">
        <v>234</v>
      </c>
      <c r="G253" s="40" t="s">
        <v>422</v>
      </c>
      <c r="H253" s="18" t="s">
        <v>374</v>
      </c>
      <c r="I253" s="18">
        <v>30</v>
      </c>
      <c r="J253" s="22" t="s">
        <v>95</v>
      </c>
      <c r="K253" s="22"/>
      <c r="L253" s="40" t="s">
        <v>422</v>
      </c>
      <c r="M253" s="40"/>
      <c r="N253" s="15" t="str">
        <f t="shared" si="3"/>
        <v xml:space="preserve">   ,"FaqKindCd" : "001"</v>
      </c>
      <c r="O253" s="40" t="s">
        <v>454</v>
      </c>
    </row>
    <row r="254" spans="1:15" hidden="1">
      <c r="A254" s="15">
        <v>244</v>
      </c>
      <c r="B254" s="15" t="s">
        <v>188</v>
      </c>
      <c r="C254" s="33" t="str">
        <f>VLOOKUP($B254,API목록!$B$11:$C$39,2,0)</f>
        <v>FAQ목록조회</v>
      </c>
      <c r="D254" s="18">
        <v>4</v>
      </c>
      <c r="E254" s="31" t="s">
        <v>437</v>
      </c>
      <c r="F254" s="37" t="s">
        <v>443</v>
      </c>
      <c r="G254" s="40" t="s">
        <v>444</v>
      </c>
      <c r="H254" s="18" t="s">
        <v>374</v>
      </c>
      <c r="I254" s="18">
        <v>100</v>
      </c>
      <c r="J254" s="22" t="s">
        <v>225</v>
      </c>
      <c r="K254" s="22"/>
      <c r="L254" s="19"/>
      <c r="M254" s="40" t="s">
        <v>446</v>
      </c>
      <c r="N254" s="15" t="str">
        <f t="shared" si="3"/>
        <v xml:space="preserve">   ,"SrchCond" : "차단설정"</v>
      </c>
      <c r="O254" s="40" t="s">
        <v>481</v>
      </c>
    </row>
    <row r="255" spans="1:15" hidden="1">
      <c r="A255" s="15">
        <v>245</v>
      </c>
      <c r="B255" s="15" t="s">
        <v>188</v>
      </c>
      <c r="C255" s="33" t="str">
        <f>VLOOKUP($B255,API목록!$B$11:$C$39,2,0)</f>
        <v>FAQ목록조회</v>
      </c>
      <c r="D255" s="18">
        <v>5</v>
      </c>
      <c r="E255" s="31" t="s">
        <v>437</v>
      </c>
      <c r="F255" s="21" t="s">
        <v>99</v>
      </c>
      <c r="G255" s="40" t="s">
        <v>97</v>
      </c>
      <c r="H255" s="18" t="s">
        <v>1</v>
      </c>
      <c r="I255" s="18">
        <v>3</v>
      </c>
      <c r="J255" s="22" t="s">
        <v>95</v>
      </c>
      <c r="K255" s="22"/>
      <c r="L255" s="40" t="s">
        <v>97</v>
      </c>
      <c r="M255" s="40"/>
      <c r="N255" s="15" t="str">
        <f t="shared" si="3"/>
        <v xml:space="preserve">   ,"PageReqPartCd" : "FWD"</v>
      </c>
      <c r="O255" s="40" t="s">
        <v>464</v>
      </c>
    </row>
    <row r="256" spans="1:15" hidden="1">
      <c r="A256" s="15">
        <v>246</v>
      </c>
      <c r="B256" s="15" t="s">
        <v>188</v>
      </c>
      <c r="C256" s="33" t="str">
        <f>VLOOKUP($B256,API목록!$B$11:$C$39,2,0)</f>
        <v>FAQ목록조회</v>
      </c>
      <c r="D256" s="18">
        <v>6</v>
      </c>
      <c r="E256" s="31" t="s">
        <v>437</v>
      </c>
      <c r="F256" s="21" t="s">
        <v>324</v>
      </c>
      <c r="G256" s="40" t="s">
        <v>333</v>
      </c>
      <c r="H256" s="18" t="s">
        <v>277</v>
      </c>
      <c r="I256" s="18">
        <v>9</v>
      </c>
      <c r="J256" s="22" t="s">
        <v>95</v>
      </c>
      <c r="K256" s="22"/>
      <c r="L256" s="19"/>
      <c r="M256" s="40"/>
      <c r="N256" s="15" t="str">
        <f t="shared" si="3"/>
        <v xml:space="preserve">   ,"BasePageCnt" : 1</v>
      </c>
      <c r="O256" s="40">
        <v>1</v>
      </c>
    </row>
    <row r="257" spans="1:15" hidden="1">
      <c r="A257" s="15">
        <v>247</v>
      </c>
      <c r="B257" s="15" t="s">
        <v>188</v>
      </c>
      <c r="C257" s="33" t="str">
        <f>VLOOKUP($B257,API목록!$B$11:$C$39,2,0)</f>
        <v>FAQ목록조회</v>
      </c>
      <c r="D257" s="18">
        <v>7</v>
      </c>
      <c r="E257" s="32" t="s">
        <v>224</v>
      </c>
      <c r="F257" s="40" t="s">
        <v>88</v>
      </c>
      <c r="G257" s="40" t="s">
        <v>303</v>
      </c>
      <c r="H257" s="18" t="s">
        <v>374</v>
      </c>
      <c r="I257" s="18">
        <v>7</v>
      </c>
      <c r="J257" s="22" t="s">
        <v>95</v>
      </c>
      <c r="K257" s="22"/>
      <c r="L257" s="16" t="s">
        <v>93</v>
      </c>
      <c r="M257" s="40"/>
      <c r="N257" s="15" t="str">
        <f t="shared" si="3"/>
        <v xml:space="preserve">   ,"ProcRsltCd" : "109-000"</v>
      </c>
      <c r="O257" s="24" t="s">
        <v>507</v>
      </c>
    </row>
    <row r="258" spans="1:15" hidden="1">
      <c r="A258" s="15">
        <v>248</v>
      </c>
      <c r="B258" s="15" t="s">
        <v>188</v>
      </c>
      <c r="C258" s="33" t="str">
        <f>VLOOKUP($B258,API목록!$B$11:$C$39,2,0)</f>
        <v>FAQ목록조회</v>
      </c>
      <c r="D258" s="18">
        <v>8</v>
      </c>
      <c r="E258" s="32" t="s">
        <v>224</v>
      </c>
      <c r="F258" s="40" t="s">
        <v>431</v>
      </c>
      <c r="G258" s="40" t="s">
        <v>430</v>
      </c>
      <c r="H258" s="18" t="s">
        <v>1</v>
      </c>
      <c r="I258" s="18">
        <v>1</v>
      </c>
      <c r="J258" s="22" t="s">
        <v>95</v>
      </c>
      <c r="K258" s="22"/>
      <c r="L258" s="19"/>
      <c r="M258" s="24" t="s">
        <v>434</v>
      </c>
      <c r="N258" s="15" t="str">
        <f t="shared" si="3"/>
        <v xml:space="preserve">   ,"RsltMsgPopupYN" : "Y"</v>
      </c>
      <c r="O258" s="24" t="s">
        <v>453</v>
      </c>
    </row>
    <row r="259" spans="1:15" hidden="1">
      <c r="A259" s="15">
        <v>249</v>
      </c>
      <c r="B259" s="15" t="s">
        <v>188</v>
      </c>
      <c r="C259" s="33" t="str">
        <f>VLOOKUP($B259,API목록!$B$11:$C$39,2,0)</f>
        <v>FAQ목록조회</v>
      </c>
      <c r="D259" s="18">
        <v>9</v>
      </c>
      <c r="E259" s="32" t="s">
        <v>224</v>
      </c>
      <c r="F259" s="40" t="s">
        <v>427</v>
      </c>
      <c r="G259" s="40" t="s">
        <v>428</v>
      </c>
      <c r="H259" s="18" t="s">
        <v>374</v>
      </c>
      <c r="I259" s="18">
        <v>300</v>
      </c>
      <c r="J259" s="22" t="s">
        <v>225</v>
      </c>
      <c r="K259" s="22"/>
      <c r="L259" s="19"/>
      <c r="M259" s="40"/>
      <c r="N259" s="15" t="str">
        <f t="shared" si="3"/>
        <v xml:space="preserve">   ,"RsltMsg" : "결과메시지"</v>
      </c>
      <c r="O259" s="24" t="s">
        <v>460</v>
      </c>
    </row>
    <row r="260" spans="1:15" hidden="1">
      <c r="A260" s="15">
        <v>250</v>
      </c>
      <c r="B260" s="15" t="s">
        <v>188</v>
      </c>
      <c r="C260" s="33" t="str">
        <f>VLOOKUP($B260,API목록!$B$11:$C$39,2,0)</f>
        <v>FAQ목록조회</v>
      </c>
      <c r="D260" s="18">
        <v>10</v>
      </c>
      <c r="E260" s="32" t="s">
        <v>224</v>
      </c>
      <c r="F260" s="37" t="s">
        <v>100</v>
      </c>
      <c r="G260" s="40" t="s">
        <v>330</v>
      </c>
      <c r="H260" s="18" t="s">
        <v>277</v>
      </c>
      <c r="I260" s="18">
        <v>9</v>
      </c>
      <c r="J260" s="22" t="s">
        <v>95</v>
      </c>
      <c r="K260" s="22"/>
      <c r="L260" s="19"/>
      <c r="M260" s="40"/>
      <c r="N260" s="15" t="str">
        <f t="shared" si="3"/>
        <v xml:space="preserve">   ,"TotCnt" : 999</v>
      </c>
      <c r="O260" s="40">
        <v>999</v>
      </c>
    </row>
    <row r="261" spans="1:15" hidden="1">
      <c r="A261" s="15">
        <v>251</v>
      </c>
      <c r="B261" s="15" t="s">
        <v>188</v>
      </c>
      <c r="C261" s="33" t="str">
        <f>VLOOKUP($B261,API목록!$B$11:$C$39,2,0)</f>
        <v>FAQ목록조회</v>
      </c>
      <c r="D261" s="18">
        <v>11</v>
      </c>
      <c r="E261" s="32" t="s">
        <v>224</v>
      </c>
      <c r="F261" s="37" t="s">
        <v>326</v>
      </c>
      <c r="G261" s="40" t="s">
        <v>331</v>
      </c>
      <c r="H261" s="18" t="s">
        <v>277</v>
      </c>
      <c r="I261" s="18">
        <v>9</v>
      </c>
      <c r="J261" s="22" t="s">
        <v>95</v>
      </c>
      <c r="K261" s="22"/>
      <c r="L261" s="19"/>
      <c r="M261" s="40"/>
      <c r="N261" s="15" t="str">
        <f t="shared" si="3"/>
        <v xml:space="preserve">   ,"TotPageCnt" : 13</v>
      </c>
      <c r="O261" s="40">
        <v>13</v>
      </c>
    </row>
    <row r="262" spans="1:15" hidden="1">
      <c r="A262" s="15">
        <v>252</v>
      </c>
      <c r="B262" s="15" t="s">
        <v>188</v>
      </c>
      <c r="C262" s="33" t="str">
        <f>VLOOKUP($B262,API목록!$B$11:$C$39,2,0)</f>
        <v>FAQ목록조회</v>
      </c>
      <c r="D262" s="18">
        <v>12</v>
      </c>
      <c r="E262" s="32" t="s">
        <v>224</v>
      </c>
      <c r="F262" s="37" t="s">
        <v>325</v>
      </c>
      <c r="G262" s="40" t="s">
        <v>335</v>
      </c>
      <c r="H262" s="18" t="s">
        <v>277</v>
      </c>
      <c r="I262" s="18">
        <v>9</v>
      </c>
      <c r="J262" s="22" t="s">
        <v>95</v>
      </c>
      <c r="K262" s="22"/>
      <c r="L262" s="19"/>
      <c r="M262" s="40"/>
      <c r="N262" s="15" t="str">
        <f t="shared" si="3"/>
        <v xml:space="preserve">   ,"StaPageCnt" : 1</v>
      </c>
      <c r="O262" s="40">
        <v>1</v>
      </c>
    </row>
    <row r="263" spans="1:15" hidden="1">
      <c r="A263" s="15">
        <v>253</v>
      </c>
      <c r="B263" s="15" t="s">
        <v>188</v>
      </c>
      <c r="C263" s="33" t="str">
        <f>VLOOKUP($B263,API목록!$B$11:$C$39,2,0)</f>
        <v>FAQ목록조회</v>
      </c>
      <c r="D263" s="18">
        <v>13</v>
      </c>
      <c r="E263" s="32" t="s">
        <v>224</v>
      </c>
      <c r="F263" s="37" t="s">
        <v>101</v>
      </c>
      <c r="G263" s="40" t="s">
        <v>397</v>
      </c>
      <c r="H263" s="18" t="s">
        <v>381</v>
      </c>
      <c r="I263" s="18">
        <v>9</v>
      </c>
      <c r="J263" s="22" t="s">
        <v>95</v>
      </c>
      <c r="K263" s="22">
        <v>50</v>
      </c>
      <c r="L263" s="19"/>
      <c r="M263" s="40"/>
      <c r="N263" s="15" t="str">
        <f t="shared" si="3"/>
        <v xml:space="preserve">   ,"Seq" : 1</v>
      </c>
      <c r="O263" s="40">
        <v>1</v>
      </c>
    </row>
    <row r="264" spans="1:15" hidden="1">
      <c r="A264" s="15">
        <v>254</v>
      </c>
      <c r="B264" s="15" t="s">
        <v>188</v>
      </c>
      <c r="C264" s="33" t="str">
        <f>VLOOKUP($B264,API목록!$B$11:$C$39,2,0)</f>
        <v>FAQ목록조회</v>
      </c>
      <c r="D264" s="18">
        <v>14</v>
      </c>
      <c r="E264" s="32" t="s">
        <v>224</v>
      </c>
      <c r="F264" s="37" t="s">
        <v>240</v>
      </c>
      <c r="G264" s="40" t="s">
        <v>423</v>
      </c>
      <c r="H264" s="18" t="s">
        <v>381</v>
      </c>
      <c r="I264" s="18">
        <v>9</v>
      </c>
      <c r="J264" s="22" t="s">
        <v>95</v>
      </c>
      <c r="K264" s="22">
        <v>50</v>
      </c>
      <c r="L264" s="19"/>
      <c r="M264" s="40"/>
      <c r="N264" s="15" t="str">
        <f t="shared" si="3"/>
        <v xml:space="preserve">   ,"FaqNo" : 26</v>
      </c>
      <c r="O264" s="40">
        <v>26</v>
      </c>
    </row>
    <row r="265" spans="1:15" hidden="1">
      <c r="A265" s="15">
        <v>255</v>
      </c>
      <c r="B265" s="15" t="s">
        <v>188</v>
      </c>
      <c r="C265" s="33" t="str">
        <f>VLOOKUP($B265,API목록!$B$11:$C$39,2,0)</f>
        <v>FAQ목록조회</v>
      </c>
      <c r="D265" s="18">
        <v>15</v>
      </c>
      <c r="E265" s="32" t="s">
        <v>224</v>
      </c>
      <c r="F265" s="37" t="s">
        <v>273</v>
      </c>
      <c r="G265" s="15" t="s">
        <v>344</v>
      </c>
      <c r="H265" s="18" t="s">
        <v>1</v>
      </c>
      <c r="I265" s="18">
        <v>100</v>
      </c>
      <c r="J265" s="22" t="s">
        <v>95</v>
      </c>
      <c r="K265" s="22">
        <v>50</v>
      </c>
      <c r="L265" s="19"/>
      <c r="M265" s="40"/>
      <c r="N265" s="15" t="str">
        <f t="shared" si="3"/>
        <v xml:space="preserve">   ,"FaqKindNm" : "FAQ종류명"</v>
      </c>
      <c r="O265" s="40" t="s">
        <v>508</v>
      </c>
    </row>
    <row r="266" spans="1:15" hidden="1">
      <c r="A266" s="15">
        <v>256</v>
      </c>
      <c r="B266" s="15" t="s">
        <v>188</v>
      </c>
      <c r="C266" s="33" t="str">
        <f>VLOOKUP($B266,API목록!$B$11:$C$39,2,0)</f>
        <v>FAQ목록조회</v>
      </c>
      <c r="D266" s="18">
        <v>16</v>
      </c>
      <c r="E266" s="32" t="s">
        <v>224</v>
      </c>
      <c r="F266" s="37" t="s">
        <v>445</v>
      </c>
      <c r="G266" s="40" t="s">
        <v>420</v>
      </c>
      <c r="H266" s="18" t="s">
        <v>374</v>
      </c>
      <c r="I266" s="18">
        <v>500</v>
      </c>
      <c r="J266" s="22" t="s">
        <v>95</v>
      </c>
      <c r="K266" s="22">
        <v>50</v>
      </c>
      <c r="L266" s="19"/>
      <c r="M266" s="40"/>
      <c r="N266" s="15" t="str">
        <f t="shared" si="3"/>
        <v xml:space="preserve">   ,"InqTitl" : "문의내용"</v>
      </c>
      <c r="O266" s="40" t="s">
        <v>470</v>
      </c>
    </row>
    <row r="267" spans="1:15" hidden="1">
      <c r="A267" s="15">
        <v>257</v>
      </c>
      <c r="B267" s="15" t="s">
        <v>188</v>
      </c>
      <c r="C267" s="33" t="str">
        <f>VLOOKUP($B267,API목록!$B$11:$C$39,2,0)</f>
        <v>FAQ목록조회</v>
      </c>
      <c r="D267" s="18">
        <v>17</v>
      </c>
      <c r="E267" s="32" t="s">
        <v>224</v>
      </c>
      <c r="F267" s="37" t="s">
        <v>274</v>
      </c>
      <c r="G267" s="40" t="s">
        <v>424</v>
      </c>
      <c r="H267" s="18" t="s">
        <v>374</v>
      </c>
      <c r="I267" s="18">
        <v>3000</v>
      </c>
      <c r="J267" s="22" t="s">
        <v>95</v>
      </c>
      <c r="K267" s="22">
        <v>50</v>
      </c>
      <c r="L267" s="19"/>
      <c r="M267" s="40"/>
      <c r="N267" s="15" t="str">
        <f t="shared" si="3"/>
        <v xml:space="preserve">   ,"AnsDesc" : "답변내용"</v>
      </c>
      <c r="O267" s="40" t="s">
        <v>471</v>
      </c>
    </row>
    <row r="268" spans="1:15" hidden="1">
      <c r="A268" s="15">
        <v>258</v>
      </c>
      <c r="B268" s="15" t="s">
        <v>188</v>
      </c>
      <c r="C268" s="33" t="str">
        <f>VLOOKUP($B268,API목록!$B$11:$C$39,2,0)</f>
        <v>FAQ목록조회</v>
      </c>
      <c r="D268" s="18">
        <v>18</v>
      </c>
      <c r="E268" s="32" t="s">
        <v>224</v>
      </c>
      <c r="F268" s="21" t="s">
        <v>275</v>
      </c>
      <c r="G268" s="40" t="s">
        <v>425</v>
      </c>
      <c r="H268" s="18" t="s">
        <v>374</v>
      </c>
      <c r="I268" s="18">
        <v>8</v>
      </c>
      <c r="J268" s="22" t="s">
        <v>95</v>
      </c>
      <c r="K268" s="22">
        <v>50</v>
      </c>
      <c r="L268" s="19"/>
      <c r="M268" s="40"/>
      <c r="N268" s="15" t="str">
        <f t="shared" ref="N268:N331" si="4">IF(D268=1,"{"&amp;""""&amp;B268&amp;""""&amp;":["&amp;CHAR(10)&amp;"   {"&amp;""""&amp;G268&amp;""""&amp;" : "&amp;O268,"   ,"&amp;""""&amp;G268&amp;""""&amp;" : "&amp;O268)&amp;IF(D269=1,"   }"&amp;CHAR(10)&amp;"]}","")</f>
        <v xml:space="preserve">   ,"AddDate" : "21/08/01"   }
]}</v>
      </c>
      <c r="O268" s="41" t="s">
        <v>473</v>
      </c>
    </row>
    <row r="269" spans="1:15" hidden="1">
      <c r="A269" s="15">
        <v>259</v>
      </c>
      <c r="B269" s="15" t="s">
        <v>190</v>
      </c>
      <c r="C269" s="33" t="str">
        <f>VLOOKUP($B269,API목록!$B$11:$C$39,2,0)</f>
        <v>일반공지내역확인</v>
      </c>
      <c r="D269" s="18">
        <v>1</v>
      </c>
      <c r="E269" s="31" t="s">
        <v>437</v>
      </c>
      <c r="F269" s="40" t="s">
        <v>98</v>
      </c>
      <c r="G269" s="40" t="s">
        <v>323</v>
      </c>
      <c r="H269" s="18" t="s">
        <v>1</v>
      </c>
      <c r="I269" s="18">
        <v>3</v>
      </c>
      <c r="J269" s="22" t="s">
        <v>95</v>
      </c>
      <c r="K269" s="22"/>
      <c r="L269" s="40" t="s">
        <v>323</v>
      </c>
      <c r="M269" s="24" t="s">
        <v>322</v>
      </c>
      <c r="N269" s="15" t="str">
        <f t="shared" si="4"/>
        <v>{"ApiGeneralNoticeDtl":[
   {"UseLangCd" : "KOR"</v>
      </c>
      <c r="O269" s="24" t="s">
        <v>450</v>
      </c>
    </row>
    <row r="270" spans="1:15" hidden="1">
      <c r="A270" s="15">
        <v>260</v>
      </c>
      <c r="B270" s="15" t="s">
        <v>190</v>
      </c>
      <c r="C270" s="33" t="str">
        <f>VLOOKUP($B270,API목록!$B$11:$C$39,2,0)</f>
        <v>일반공지내역확인</v>
      </c>
      <c r="D270" s="18">
        <v>2</v>
      </c>
      <c r="E270" s="31" t="s">
        <v>437</v>
      </c>
      <c r="F270" s="37" t="s">
        <v>226</v>
      </c>
      <c r="G270" s="40" t="s">
        <v>373</v>
      </c>
      <c r="H270" s="18" t="s">
        <v>374</v>
      </c>
      <c r="I270" s="18">
        <v>20</v>
      </c>
      <c r="J270" s="22" t="s">
        <v>95</v>
      </c>
      <c r="K270" s="22"/>
      <c r="L270" s="19"/>
      <c r="M270" s="40"/>
      <c r="N270" s="15" t="str">
        <f t="shared" si="4"/>
        <v xml:space="preserve">   ,"UserPhnNo" : "01012345678"</v>
      </c>
      <c r="O270" s="24" t="s">
        <v>456</v>
      </c>
    </row>
    <row r="271" spans="1:15" hidden="1">
      <c r="A271" s="15">
        <v>261</v>
      </c>
      <c r="B271" s="15" t="s">
        <v>190</v>
      </c>
      <c r="C271" s="33" t="str">
        <f>VLOOKUP($B271,API목록!$B$11:$C$39,2,0)</f>
        <v>일반공지내역확인</v>
      </c>
      <c r="D271" s="18">
        <v>3</v>
      </c>
      <c r="E271" s="31" t="s">
        <v>437</v>
      </c>
      <c r="F271" s="37" t="s">
        <v>236</v>
      </c>
      <c r="G271" s="40" t="s">
        <v>402</v>
      </c>
      <c r="H271" s="18" t="s">
        <v>381</v>
      </c>
      <c r="I271" s="18">
        <v>9</v>
      </c>
      <c r="J271" s="22" t="s">
        <v>95</v>
      </c>
      <c r="K271" s="22"/>
      <c r="L271" s="19"/>
      <c r="M271" s="40"/>
      <c r="N271" s="15" t="str">
        <f t="shared" si="4"/>
        <v xml:space="preserve">   ,"NtcNo" : 27</v>
      </c>
      <c r="O271" s="40">
        <v>27</v>
      </c>
    </row>
    <row r="272" spans="1:15" hidden="1">
      <c r="A272" s="15">
        <v>262</v>
      </c>
      <c r="B272" s="15" t="s">
        <v>190</v>
      </c>
      <c r="C272" s="33" t="str">
        <f>VLOOKUP($B272,API목록!$B$11:$C$39,2,0)</f>
        <v>일반공지내역확인</v>
      </c>
      <c r="D272" s="18">
        <v>4</v>
      </c>
      <c r="E272" s="32" t="s">
        <v>224</v>
      </c>
      <c r="F272" s="40" t="s">
        <v>88</v>
      </c>
      <c r="G272" s="40" t="s">
        <v>303</v>
      </c>
      <c r="H272" s="18" t="s">
        <v>374</v>
      </c>
      <c r="I272" s="18">
        <v>7</v>
      </c>
      <c r="J272" s="22" t="s">
        <v>95</v>
      </c>
      <c r="K272" s="22"/>
      <c r="L272" s="16" t="s">
        <v>93</v>
      </c>
      <c r="M272" s="40"/>
      <c r="N272" s="15" t="str">
        <f t="shared" si="4"/>
        <v xml:space="preserve">   ,"ProcRsltCd" : "110-000"</v>
      </c>
      <c r="O272" s="24" t="s">
        <v>509</v>
      </c>
    </row>
    <row r="273" spans="1:15" hidden="1">
      <c r="A273" s="15">
        <v>263</v>
      </c>
      <c r="B273" s="15" t="s">
        <v>190</v>
      </c>
      <c r="C273" s="33" t="str">
        <f>VLOOKUP($B273,API목록!$B$11:$C$39,2,0)</f>
        <v>일반공지내역확인</v>
      </c>
      <c r="D273" s="18">
        <v>5</v>
      </c>
      <c r="E273" s="32" t="s">
        <v>224</v>
      </c>
      <c r="F273" s="40" t="s">
        <v>431</v>
      </c>
      <c r="G273" s="40" t="s">
        <v>430</v>
      </c>
      <c r="H273" s="18" t="s">
        <v>1</v>
      </c>
      <c r="I273" s="18">
        <v>1</v>
      </c>
      <c r="J273" s="22" t="s">
        <v>95</v>
      </c>
      <c r="K273" s="22"/>
      <c r="L273" s="19"/>
      <c r="M273" s="24" t="s">
        <v>434</v>
      </c>
      <c r="N273" s="15" t="str">
        <f t="shared" si="4"/>
        <v xml:space="preserve">   ,"RsltMsgPopupYN" : "Y"</v>
      </c>
      <c r="O273" s="24" t="s">
        <v>453</v>
      </c>
    </row>
    <row r="274" spans="1:15" hidden="1">
      <c r="A274" s="15">
        <v>264</v>
      </c>
      <c r="B274" s="15" t="s">
        <v>190</v>
      </c>
      <c r="C274" s="33" t="str">
        <f>VLOOKUP($B274,API목록!$B$11:$C$39,2,0)</f>
        <v>일반공지내역확인</v>
      </c>
      <c r="D274" s="18">
        <v>6</v>
      </c>
      <c r="E274" s="32" t="s">
        <v>224</v>
      </c>
      <c r="F274" s="40" t="s">
        <v>427</v>
      </c>
      <c r="G274" s="40" t="s">
        <v>428</v>
      </c>
      <c r="H274" s="18" t="s">
        <v>374</v>
      </c>
      <c r="I274" s="18">
        <v>300</v>
      </c>
      <c r="J274" s="22" t="s">
        <v>225</v>
      </c>
      <c r="K274" s="22"/>
      <c r="L274" s="19"/>
      <c r="M274" s="40"/>
      <c r="N274" s="15" t="str">
        <f t="shared" si="4"/>
        <v xml:space="preserve">   ,"RsltMsg" : "결과메시지"   }
]}</v>
      </c>
      <c r="O274" s="24" t="s">
        <v>460</v>
      </c>
    </row>
    <row r="275" spans="1:15" hidden="1">
      <c r="A275" s="15">
        <v>265</v>
      </c>
      <c r="B275" s="15" t="s">
        <v>192</v>
      </c>
      <c r="C275" s="33" t="str">
        <f>VLOOKUP($B275,API목록!$B$11:$C$39,2,0)</f>
        <v>개별공지내역확인</v>
      </c>
      <c r="D275" s="18">
        <v>1</v>
      </c>
      <c r="E275" s="31" t="s">
        <v>437</v>
      </c>
      <c r="F275" s="40" t="s">
        <v>98</v>
      </c>
      <c r="G275" s="40" t="s">
        <v>323</v>
      </c>
      <c r="H275" s="18" t="s">
        <v>1</v>
      </c>
      <c r="I275" s="18">
        <v>3</v>
      </c>
      <c r="J275" s="22" t="s">
        <v>95</v>
      </c>
      <c r="K275" s="22"/>
      <c r="L275" s="40" t="s">
        <v>323</v>
      </c>
      <c r="M275" s="24" t="s">
        <v>322</v>
      </c>
      <c r="N275" s="15" t="str">
        <f t="shared" si="4"/>
        <v>{"ApiIndividualNoticeDtl":[
   {"UseLangCd" : "KOR"</v>
      </c>
      <c r="O275" s="24" t="s">
        <v>450</v>
      </c>
    </row>
    <row r="276" spans="1:15" hidden="1">
      <c r="A276" s="15">
        <v>266</v>
      </c>
      <c r="B276" s="15" t="s">
        <v>192</v>
      </c>
      <c r="C276" s="33" t="str">
        <f>VLOOKUP($B276,API목록!$B$11:$C$39,2,0)</f>
        <v>개별공지내역확인</v>
      </c>
      <c r="D276" s="18">
        <v>2</v>
      </c>
      <c r="E276" s="31" t="s">
        <v>437</v>
      </c>
      <c r="F276" s="37" t="s">
        <v>226</v>
      </c>
      <c r="G276" s="40" t="s">
        <v>373</v>
      </c>
      <c r="H276" s="18" t="s">
        <v>374</v>
      </c>
      <c r="I276" s="18">
        <v>20</v>
      </c>
      <c r="J276" s="22" t="s">
        <v>95</v>
      </c>
      <c r="K276" s="22"/>
      <c r="L276" s="19"/>
      <c r="M276" s="40"/>
      <c r="N276" s="15" t="str">
        <f t="shared" si="4"/>
        <v xml:space="preserve">   ,"UserPhnNo" : "01012345678"</v>
      </c>
      <c r="O276" s="24" t="s">
        <v>456</v>
      </c>
    </row>
    <row r="277" spans="1:15" hidden="1">
      <c r="A277" s="15">
        <v>267</v>
      </c>
      <c r="B277" s="15" t="s">
        <v>192</v>
      </c>
      <c r="C277" s="33" t="str">
        <f>VLOOKUP($B277,API목록!$B$11:$C$39,2,0)</f>
        <v>개별공지내역확인</v>
      </c>
      <c r="D277" s="18">
        <v>3</v>
      </c>
      <c r="E277" s="31" t="s">
        <v>437</v>
      </c>
      <c r="F277" s="37" t="s">
        <v>236</v>
      </c>
      <c r="G277" s="40" t="s">
        <v>402</v>
      </c>
      <c r="H277" s="18" t="s">
        <v>381</v>
      </c>
      <c r="I277" s="18">
        <v>9</v>
      </c>
      <c r="J277" s="22" t="s">
        <v>95</v>
      </c>
      <c r="K277" s="22"/>
      <c r="L277" s="19"/>
      <c r="M277" s="40"/>
      <c r="N277" s="15" t="str">
        <f t="shared" si="4"/>
        <v xml:space="preserve">   ,"NtcNo" : 28</v>
      </c>
      <c r="O277" s="40">
        <v>28</v>
      </c>
    </row>
    <row r="278" spans="1:15" hidden="1">
      <c r="A278" s="15">
        <v>268</v>
      </c>
      <c r="B278" s="15" t="s">
        <v>192</v>
      </c>
      <c r="C278" s="33" t="str">
        <f>VLOOKUP($B278,API목록!$B$11:$C$39,2,0)</f>
        <v>개별공지내역확인</v>
      </c>
      <c r="D278" s="18">
        <v>4</v>
      </c>
      <c r="E278" s="32" t="s">
        <v>224</v>
      </c>
      <c r="F278" s="40" t="s">
        <v>88</v>
      </c>
      <c r="G278" s="40" t="s">
        <v>303</v>
      </c>
      <c r="H278" s="18" t="s">
        <v>374</v>
      </c>
      <c r="I278" s="18">
        <v>7</v>
      </c>
      <c r="J278" s="22" t="s">
        <v>95</v>
      </c>
      <c r="K278" s="22"/>
      <c r="L278" s="16" t="s">
        <v>93</v>
      </c>
      <c r="M278" s="40"/>
      <c r="N278" s="15" t="str">
        <f t="shared" si="4"/>
        <v xml:space="preserve">   ,"ProcRsltCd" : "111-000"</v>
      </c>
      <c r="O278" s="24" t="s">
        <v>510</v>
      </c>
    </row>
    <row r="279" spans="1:15" hidden="1">
      <c r="A279" s="15">
        <v>269</v>
      </c>
      <c r="B279" s="15" t="s">
        <v>192</v>
      </c>
      <c r="C279" s="33" t="str">
        <f>VLOOKUP($B279,API목록!$B$11:$C$39,2,0)</f>
        <v>개별공지내역확인</v>
      </c>
      <c r="D279" s="18">
        <v>5</v>
      </c>
      <c r="E279" s="32" t="s">
        <v>224</v>
      </c>
      <c r="F279" s="40" t="s">
        <v>431</v>
      </c>
      <c r="G279" s="40" t="s">
        <v>430</v>
      </c>
      <c r="H279" s="18" t="s">
        <v>1</v>
      </c>
      <c r="I279" s="18">
        <v>1</v>
      </c>
      <c r="J279" s="22" t="s">
        <v>95</v>
      </c>
      <c r="K279" s="22"/>
      <c r="L279" s="19"/>
      <c r="M279" s="24" t="s">
        <v>434</v>
      </c>
      <c r="N279" s="15" t="str">
        <f t="shared" si="4"/>
        <v xml:space="preserve">   ,"RsltMsgPopupYN" : "Y"</v>
      </c>
      <c r="O279" s="24" t="s">
        <v>453</v>
      </c>
    </row>
    <row r="280" spans="1:15" hidden="1">
      <c r="A280" s="15">
        <v>270</v>
      </c>
      <c r="B280" s="15" t="s">
        <v>192</v>
      </c>
      <c r="C280" s="33" t="str">
        <f>VLOOKUP($B280,API목록!$B$11:$C$39,2,0)</f>
        <v>개별공지내역확인</v>
      </c>
      <c r="D280" s="18">
        <v>6</v>
      </c>
      <c r="E280" s="32" t="s">
        <v>224</v>
      </c>
      <c r="F280" s="40" t="s">
        <v>427</v>
      </c>
      <c r="G280" s="40" t="s">
        <v>428</v>
      </c>
      <c r="H280" s="18" t="s">
        <v>374</v>
      </c>
      <c r="I280" s="18">
        <v>300</v>
      </c>
      <c r="J280" s="22" t="s">
        <v>225</v>
      </c>
      <c r="K280" s="22"/>
      <c r="L280" s="19"/>
      <c r="M280" s="40"/>
      <c r="N280" s="15" t="str">
        <f t="shared" si="4"/>
        <v xml:space="preserve">   ,"RsltMsg" : "결과메시지"   }
]}</v>
      </c>
      <c r="O280" s="24" t="s">
        <v>460</v>
      </c>
    </row>
    <row r="281" spans="1:15" hidden="1">
      <c r="A281" s="15">
        <v>271</v>
      </c>
      <c r="B281" s="15" t="s">
        <v>194</v>
      </c>
      <c r="C281" s="33" t="str">
        <f>VLOOKUP($B281,API목록!$B$11:$C$39,2,0)</f>
        <v>이벤트내역확인</v>
      </c>
      <c r="D281" s="18">
        <v>1</v>
      </c>
      <c r="E281" s="31" t="s">
        <v>437</v>
      </c>
      <c r="F281" s="40" t="s">
        <v>98</v>
      </c>
      <c r="G281" s="40" t="s">
        <v>323</v>
      </c>
      <c r="H281" s="18" t="s">
        <v>1</v>
      </c>
      <c r="I281" s="18">
        <v>3</v>
      </c>
      <c r="J281" s="22" t="s">
        <v>95</v>
      </c>
      <c r="K281" s="22"/>
      <c r="L281" s="40" t="s">
        <v>323</v>
      </c>
      <c r="M281" s="24" t="s">
        <v>322</v>
      </c>
      <c r="N281" s="15" t="str">
        <f t="shared" si="4"/>
        <v>{"ApiEventDtl":[
   {"UseLangCd" : "KOR"</v>
      </c>
      <c r="O281" s="24" t="s">
        <v>450</v>
      </c>
    </row>
    <row r="282" spans="1:15" hidden="1">
      <c r="A282" s="15">
        <v>272</v>
      </c>
      <c r="B282" s="15" t="s">
        <v>194</v>
      </c>
      <c r="C282" s="33" t="str">
        <f>VLOOKUP($B282,API목록!$B$11:$C$39,2,0)</f>
        <v>이벤트내역확인</v>
      </c>
      <c r="D282" s="18">
        <v>2</v>
      </c>
      <c r="E282" s="31" t="s">
        <v>437</v>
      </c>
      <c r="F282" s="37" t="s">
        <v>226</v>
      </c>
      <c r="G282" s="40" t="s">
        <v>373</v>
      </c>
      <c r="H282" s="18" t="s">
        <v>374</v>
      </c>
      <c r="I282" s="18">
        <v>20</v>
      </c>
      <c r="J282" s="22" t="s">
        <v>95</v>
      </c>
      <c r="K282" s="22"/>
      <c r="L282" s="19"/>
      <c r="M282" s="40"/>
      <c r="N282" s="15" t="str">
        <f t="shared" si="4"/>
        <v xml:space="preserve">   ,"UserPhnNo" : "01012345678"</v>
      </c>
      <c r="O282" s="24" t="s">
        <v>456</v>
      </c>
    </row>
    <row r="283" spans="1:15" hidden="1">
      <c r="A283" s="15">
        <v>273</v>
      </c>
      <c r="B283" s="15" t="s">
        <v>194</v>
      </c>
      <c r="C283" s="33" t="str">
        <f>VLOOKUP($B283,API목록!$B$11:$C$39,2,0)</f>
        <v>이벤트내역확인</v>
      </c>
      <c r="D283" s="18">
        <v>3</v>
      </c>
      <c r="E283" s="31" t="s">
        <v>437</v>
      </c>
      <c r="F283" s="37" t="s">
        <v>237</v>
      </c>
      <c r="G283" s="40" t="s">
        <v>407</v>
      </c>
      <c r="H283" s="18" t="s">
        <v>381</v>
      </c>
      <c r="I283" s="18">
        <v>9</v>
      </c>
      <c r="J283" s="22" t="s">
        <v>95</v>
      </c>
      <c r="K283" s="22"/>
      <c r="L283" s="19"/>
      <c r="M283" s="40"/>
      <c r="N283" s="15" t="str">
        <f t="shared" si="4"/>
        <v xml:space="preserve">   ,"EvtNo" : 29</v>
      </c>
      <c r="O283" s="40">
        <v>29</v>
      </c>
    </row>
    <row r="284" spans="1:15" hidden="1">
      <c r="A284" s="15">
        <v>274</v>
      </c>
      <c r="B284" s="15" t="s">
        <v>194</v>
      </c>
      <c r="C284" s="33" t="str">
        <f>VLOOKUP($B284,API목록!$B$11:$C$39,2,0)</f>
        <v>이벤트내역확인</v>
      </c>
      <c r="D284" s="18">
        <v>4</v>
      </c>
      <c r="E284" s="32" t="s">
        <v>224</v>
      </c>
      <c r="F284" s="40" t="s">
        <v>88</v>
      </c>
      <c r="G284" s="40" t="s">
        <v>303</v>
      </c>
      <c r="H284" s="18" t="s">
        <v>374</v>
      </c>
      <c r="I284" s="18">
        <v>7</v>
      </c>
      <c r="J284" s="22" t="s">
        <v>95</v>
      </c>
      <c r="K284" s="22"/>
      <c r="L284" s="16" t="s">
        <v>93</v>
      </c>
      <c r="M284" s="40"/>
      <c r="N284" s="15" t="str">
        <f t="shared" si="4"/>
        <v xml:space="preserve">   ,"ProcRsltCd" : "112-000"</v>
      </c>
      <c r="O284" s="24" t="s">
        <v>511</v>
      </c>
    </row>
    <row r="285" spans="1:15" hidden="1">
      <c r="A285" s="15">
        <v>275</v>
      </c>
      <c r="B285" s="15" t="s">
        <v>194</v>
      </c>
      <c r="C285" s="33" t="str">
        <f>VLOOKUP($B285,API목록!$B$11:$C$39,2,0)</f>
        <v>이벤트내역확인</v>
      </c>
      <c r="D285" s="18">
        <v>5</v>
      </c>
      <c r="E285" s="32" t="s">
        <v>224</v>
      </c>
      <c r="F285" s="40" t="s">
        <v>431</v>
      </c>
      <c r="G285" s="40" t="s">
        <v>430</v>
      </c>
      <c r="H285" s="18" t="s">
        <v>1</v>
      </c>
      <c r="I285" s="18">
        <v>1</v>
      </c>
      <c r="J285" s="22" t="s">
        <v>95</v>
      </c>
      <c r="K285" s="22"/>
      <c r="L285" s="19"/>
      <c r="M285" s="24" t="s">
        <v>434</v>
      </c>
      <c r="N285" s="15" t="str">
        <f t="shared" si="4"/>
        <v xml:space="preserve">   ,"RsltMsgPopupYN" : "Y"</v>
      </c>
      <c r="O285" s="24" t="s">
        <v>453</v>
      </c>
    </row>
    <row r="286" spans="1:15" hidden="1">
      <c r="A286" s="15">
        <v>276</v>
      </c>
      <c r="B286" s="15" t="s">
        <v>194</v>
      </c>
      <c r="C286" s="33" t="str">
        <f>VLOOKUP($B286,API목록!$B$11:$C$39,2,0)</f>
        <v>이벤트내역확인</v>
      </c>
      <c r="D286" s="18">
        <v>6</v>
      </c>
      <c r="E286" s="32" t="s">
        <v>224</v>
      </c>
      <c r="F286" s="40" t="s">
        <v>427</v>
      </c>
      <c r="G286" s="40" t="s">
        <v>428</v>
      </c>
      <c r="H286" s="18" t="s">
        <v>374</v>
      </c>
      <c r="I286" s="18">
        <v>300</v>
      </c>
      <c r="J286" s="22" t="s">
        <v>225</v>
      </c>
      <c r="K286" s="22"/>
      <c r="L286" s="19"/>
      <c r="M286" s="40"/>
      <c r="N286" s="15" t="str">
        <f t="shared" si="4"/>
        <v xml:space="preserve">   ,"RsltMsg" : "결과메시지"   }
]}</v>
      </c>
      <c r="O286" s="24" t="s">
        <v>460</v>
      </c>
    </row>
    <row r="287" spans="1:15" hidden="1">
      <c r="A287" s="15">
        <v>277</v>
      </c>
      <c r="B287" s="15" t="s">
        <v>196</v>
      </c>
      <c r="C287" s="33" t="str">
        <f>VLOOKUP($B287,API목록!$B$11:$C$39,2,0)</f>
        <v>뉴스내역확인</v>
      </c>
      <c r="D287" s="18">
        <v>1</v>
      </c>
      <c r="E287" s="31" t="s">
        <v>437</v>
      </c>
      <c r="F287" s="40" t="s">
        <v>98</v>
      </c>
      <c r="G287" s="40" t="s">
        <v>323</v>
      </c>
      <c r="H287" s="18" t="s">
        <v>1</v>
      </c>
      <c r="I287" s="18">
        <v>3</v>
      </c>
      <c r="J287" s="22" t="s">
        <v>95</v>
      </c>
      <c r="K287" s="22"/>
      <c r="L287" s="40" t="s">
        <v>323</v>
      </c>
      <c r="M287" s="24" t="s">
        <v>322</v>
      </c>
      <c r="N287" s="15" t="str">
        <f t="shared" si="4"/>
        <v>{"ApiNewsDtl":[
   {"UseLangCd" : "KOR"</v>
      </c>
      <c r="O287" s="24" t="s">
        <v>450</v>
      </c>
    </row>
    <row r="288" spans="1:15" hidden="1">
      <c r="A288" s="15">
        <v>278</v>
      </c>
      <c r="B288" s="15" t="s">
        <v>196</v>
      </c>
      <c r="C288" s="33" t="str">
        <f>VLOOKUP($B288,API목록!$B$11:$C$39,2,0)</f>
        <v>뉴스내역확인</v>
      </c>
      <c r="D288" s="18">
        <v>2</v>
      </c>
      <c r="E288" s="31" t="s">
        <v>437</v>
      </c>
      <c r="F288" s="37" t="s">
        <v>226</v>
      </c>
      <c r="G288" s="40" t="s">
        <v>373</v>
      </c>
      <c r="H288" s="18" t="s">
        <v>374</v>
      </c>
      <c r="I288" s="18">
        <v>20</v>
      </c>
      <c r="J288" s="22" t="s">
        <v>95</v>
      </c>
      <c r="K288" s="22"/>
      <c r="L288" s="19"/>
      <c r="M288" s="40"/>
      <c r="N288" s="15" t="str">
        <f t="shared" si="4"/>
        <v xml:space="preserve">   ,"UserPhnNo" : "01012345678"</v>
      </c>
      <c r="O288" s="24" t="s">
        <v>456</v>
      </c>
    </row>
    <row r="289" spans="1:15" hidden="1">
      <c r="A289" s="15">
        <v>279</v>
      </c>
      <c r="B289" s="15" t="s">
        <v>196</v>
      </c>
      <c r="C289" s="33" t="str">
        <f>VLOOKUP($B289,API목록!$B$11:$C$39,2,0)</f>
        <v>뉴스내역확인</v>
      </c>
      <c r="D289" s="18">
        <v>3</v>
      </c>
      <c r="E289" s="31" t="s">
        <v>437</v>
      </c>
      <c r="F289" s="37" t="s">
        <v>238</v>
      </c>
      <c r="G289" s="40" t="s">
        <v>412</v>
      </c>
      <c r="H289" s="18" t="s">
        <v>381</v>
      </c>
      <c r="I289" s="18">
        <v>9</v>
      </c>
      <c r="J289" s="22" t="s">
        <v>95</v>
      </c>
      <c r="K289" s="22"/>
      <c r="L289" s="19"/>
      <c r="M289" s="40"/>
      <c r="N289" s="15" t="str">
        <f t="shared" si="4"/>
        <v xml:space="preserve">   ,"NewsNo" : 30</v>
      </c>
      <c r="O289" s="40">
        <v>30</v>
      </c>
    </row>
    <row r="290" spans="1:15" hidden="1">
      <c r="A290" s="15">
        <v>280</v>
      </c>
      <c r="B290" s="15" t="s">
        <v>196</v>
      </c>
      <c r="C290" s="33" t="str">
        <f>VLOOKUP($B290,API목록!$B$11:$C$39,2,0)</f>
        <v>뉴스내역확인</v>
      </c>
      <c r="D290" s="18">
        <v>4</v>
      </c>
      <c r="E290" s="32" t="s">
        <v>224</v>
      </c>
      <c r="F290" s="40" t="s">
        <v>88</v>
      </c>
      <c r="G290" s="40" t="s">
        <v>303</v>
      </c>
      <c r="H290" s="18" t="s">
        <v>374</v>
      </c>
      <c r="I290" s="18">
        <v>7</v>
      </c>
      <c r="J290" s="22" t="s">
        <v>95</v>
      </c>
      <c r="K290" s="22"/>
      <c r="L290" s="16" t="s">
        <v>93</v>
      </c>
      <c r="M290" s="40"/>
      <c r="N290" s="15" t="str">
        <f t="shared" si="4"/>
        <v xml:space="preserve">   ,"ProcRsltCd" : "113-000"</v>
      </c>
      <c r="O290" s="24" t="s">
        <v>512</v>
      </c>
    </row>
    <row r="291" spans="1:15" hidden="1">
      <c r="A291" s="15">
        <v>281</v>
      </c>
      <c r="B291" s="15" t="s">
        <v>196</v>
      </c>
      <c r="C291" s="33" t="str">
        <f>VLOOKUP($B291,API목록!$B$11:$C$39,2,0)</f>
        <v>뉴스내역확인</v>
      </c>
      <c r="D291" s="18">
        <v>5</v>
      </c>
      <c r="E291" s="32" t="s">
        <v>224</v>
      </c>
      <c r="F291" s="40" t="s">
        <v>431</v>
      </c>
      <c r="G291" s="40" t="s">
        <v>430</v>
      </c>
      <c r="H291" s="18" t="s">
        <v>1</v>
      </c>
      <c r="I291" s="18">
        <v>1</v>
      </c>
      <c r="J291" s="22" t="s">
        <v>95</v>
      </c>
      <c r="K291" s="22"/>
      <c r="L291" s="19"/>
      <c r="M291" s="24" t="s">
        <v>434</v>
      </c>
      <c r="N291" s="15" t="str">
        <f t="shared" si="4"/>
        <v xml:space="preserve">   ,"RsltMsgPopupYN" : "Y"</v>
      </c>
      <c r="O291" s="24" t="s">
        <v>453</v>
      </c>
    </row>
    <row r="292" spans="1:15" hidden="1">
      <c r="A292" s="15">
        <v>282</v>
      </c>
      <c r="B292" s="15" t="s">
        <v>196</v>
      </c>
      <c r="C292" s="33" t="str">
        <f>VLOOKUP($B292,API목록!$B$11:$C$39,2,0)</f>
        <v>뉴스내역확인</v>
      </c>
      <c r="D292" s="18">
        <v>6</v>
      </c>
      <c r="E292" s="32" t="s">
        <v>224</v>
      </c>
      <c r="F292" s="40" t="s">
        <v>427</v>
      </c>
      <c r="G292" s="40" t="s">
        <v>428</v>
      </c>
      <c r="H292" s="18" t="s">
        <v>374</v>
      </c>
      <c r="I292" s="18">
        <v>300</v>
      </c>
      <c r="J292" s="22" t="s">
        <v>225</v>
      </c>
      <c r="K292" s="22"/>
      <c r="L292" s="19"/>
      <c r="M292" s="40"/>
      <c r="N292" s="15" t="str">
        <f t="shared" si="4"/>
        <v xml:space="preserve">   ,"RsltMsg" : "결과메시지"   }
]}</v>
      </c>
      <c r="O292" s="24" t="s">
        <v>460</v>
      </c>
    </row>
    <row r="293" spans="1:15" hidden="1">
      <c r="A293" s="15">
        <v>283</v>
      </c>
      <c r="B293" s="15" t="s">
        <v>198</v>
      </c>
      <c r="C293" s="33" t="str">
        <f>VLOOKUP($B293,API목록!$B$11:$C$39,2,0)</f>
        <v>문의내역확인</v>
      </c>
      <c r="D293" s="18">
        <v>1</v>
      </c>
      <c r="E293" s="31" t="s">
        <v>437</v>
      </c>
      <c r="F293" s="40" t="s">
        <v>98</v>
      </c>
      <c r="G293" s="40" t="s">
        <v>323</v>
      </c>
      <c r="H293" s="18" t="s">
        <v>1</v>
      </c>
      <c r="I293" s="18">
        <v>3</v>
      </c>
      <c r="J293" s="22" t="s">
        <v>95</v>
      </c>
      <c r="K293" s="22"/>
      <c r="L293" s="40" t="s">
        <v>323</v>
      </c>
      <c r="M293" s="24" t="s">
        <v>322</v>
      </c>
      <c r="N293" s="15" t="str">
        <f t="shared" si="4"/>
        <v>{"ApiQuestionDtl":[
   {"UseLangCd" : "KOR"</v>
      </c>
      <c r="O293" s="24" t="s">
        <v>450</v>
      </c>
    </row>
    <row r="294" spans="1:15" hidden="1">
      <c r="A294" s="15">
        <v>284</v>
      </c>
      <c r="B294" s="15" t="s">
        <v>198</v>
      </c>
      <c r="C294" s="33" t="str">
        <f>VLOOKUP($B294,API목록!$B$11:$C$39,2,0)</f>
        <v>문의내역확인</v>
      </c>
      <c r="D294" s="18">
        <v>2</v>
      </c>
      <c r="E294" s="31" t="s">
        <v>437</v>
      </c>
      <c r="F294" s="37" t="s">
        <v>226</v>
      </c>
      <c r="G294" s="40" t="s">
        <v>373</v>
      </c>
      <c r="H294" s="18" t="s">
        <v>374</v>
      </c>
      <c r="I294" s="18">
        <v>20</v>
      </c>
      <c r="J294" s="22" t="s">
        <v>95</v>
      </c>
      <c r="K294" s="22"/>
      <c r="L294" s="19"/>
      <c r="M294" s="40"/>
      <c r="N294" s="15" t="str">
        <f t="shared" si="4"/>
        <v xml:space="preserve">   ,"UserPhnNo" : "01012345678"</v>
      </c>
      <c r="O294" s="24" t="s">
        <v>456</v>
      </c>
    </row>
    <row r="295" spans="1:15" hidden="1">
      <c r="A295" s="15">
        <v>285</v>
      </c>
      <c r="B295" s="15" t="s">
        <v>198</v>
      </c>
      <c r="C295" s="33" t="str">
        <f>VLOOKUP($B295,API목록!$B$11:$C$39,2,0)</f>
        <v>문의내역확인</v>
      </c>
      <c r="D295" s="18">
        <v>3</v>
      </c>
      <c r="E295" s="31" t="s">
        <v>437</v>
      </c>
      <c r="F295" s="37" t="s">
        <v>239</v>
      </c>
      <c r="G295" s="40" t="s">
        <v>417</v>
      </c>
      <c r="H295" s="18" t="s">
        <v>381</v>
      </c>
      <c r="I295" s="18">
        <v>9</v>
      </c>
      <c r="J295" s="22" t="s">
        <v>95</v>
      </c>
      <c r="K295" s="22"/>
      <c r="L295" s="19"/>
      <c r="M295" s="40"/>
      <c r="N295" s="15" t="str">
        <f t="shared" si="4"/>
        <v xml:space="preserve">   ,"InqNo" : 31</v>
      </c>
      <c r="O295" s="40">
        <v>31</v>
      </c>
    </row>
    <row r="296" spans="1:15" hidden="1">
      <c r="A296" s="15">
        <v>286</v>
      </c>
      <c r="B296" s="15" t="s">
        <v>198</v>
      </c>
      <c r="C296" s="33" t="str">
        <f>VLOOKUP($B296,API목록!$B$11:$C$39,2,0)</f>
        <v>문의내역확인</v>
      </c>
      <c r="D296" s="18">
        <v>4</v>
      </c>
      <c r="E296" s="32" t="s">
        <v>224</v>
      </c>
      <c r="F296" s="40" t="s">
        <v>88</v>
      </c>
      <c r="G296" s="40" t="s">
        <v>303</v>
      </c>
      <c r="H296" s="18" t="s">
        <v>374</v>
      </c>
      <c r="I296" s="18">
        <v>7</v>
      </c>
      <c r="J296" s="22" t="s">
        <v>95</v>
      </c>
      <c r="K296" s="22"/>
      <c r="L296" s="16" t="s">
        <v>93</v>
      </c>
      <c r="M296" s="40"/>
      <c r="N296" s="15" t="str">
        <f t="shared" si="4"/>
        <v xml:space="preserve">   ,"ProcRsltCd" : "114-000"</v>
      </c>
      <c r="O296" s="24" t="s">
        <v>513</v>
      </c>
    </row>
    <row r="297" spans="1:15" hidden="1">
      <c r="A297" s="15">
        <v>287</v>
      </c>
      <c r="B297" s="15" t="s">
        <v>198</v>
      </c>
      <c r="C297" s="33" t="str">
        <f>VLOOKUP($B297,API목록!$B$11:$C$39,2,0)</f>
        <v>문의내역확인</v>
      </c>
      <c r="D297" s="18">
        <v>5</v>
      </c>
      <c r="E297" s="32" t="s">
        <v>224</v>
      </c>
      <c r="F297" s="40" t="s">
        <v>431</v>
      </c>
      <c r="G297" s="40" t="s">
        <v>430</v>
      </c>
      <c r="H297" s="18" t="s">
        <v>1</v>
      </c>
      <c r="I297" s="18">
        <v>1</v>
      </c>
      <c r="J297" s="22" t="s">
        <v>95</v>
      </c>
      <c r="K297" s="22"/>
      <c r="L297" s="19"/>
      <c r="M297" s="24" t="s">
        <v>434</v>
      </c>
      <c r="N297" s="15" t="str">
        <f t="shared" si="4"/>
        <v xml:space="preserve">   ,"RsltMsgPopupYN" : "Y"</v>
      </c>
      <c r="O297" s="24" t="s">
        <v>453</v>
      </c>
    </row>
    <row r="298" spans="1:15" hidden="1">
      <c r="A298" s="15">
        <v>288</v>
      </c>
      <c r="B298" s="15" t="s">
        <v>198</v>
      </c>
      <c r="C298" s="33" t="str">
        <f>VLOOKUP($B298,API목록!$B$11:$C$39,2,0)</f>
        <v>문의내역확인</v>
      </c>
      <c r="D298" s="18">
        <v>6</v>
      </c>
      <c r="E298" s="32" t="s">
        <v>224</v>
      </c>
      <c r="F298" s="40" t="s">
        <v>427</v>
      </c>
      <c r="G298" s="40" t="s">
        <v>428</v>
      </c>
      <c r="H298" s="18" t="s">
        <v>374</v>
      </c>
      <c r="I298" s="18">
        <v>300</v>
      </c>
      <c r="J298" s="22" t="s">
        <v>225</v>
      </c>
      <c r="K298" s="22"/>
      <c r="L298" s="19"/>
      <c r="M298" s="40"/>
      <c r="N298" s="15" t="str">
        <f t="shared" si="4"/>
        <v xml:space="preserve">   ,"RsltMsg" : "결과메시지"   }
]}</v>
      </c>
      <c r="O298" s="24" t="s">
        <v>460</v>
      </c>
    </row>
    <row r="299" spans="1:15" hidden="1">
      <c r="A299" s="15">
        <v>289</v>
      </c>
      <c r="B299" s="15" t="s">
        <v>200</v>
      </c>
      <c r="C299" s="33" t="str">
        <f>VLOOKUP($B299,API목록!$B$11:$C$39,2,0)</f>
        <v>FAQ내역확인</v>
      </c>
      <c r="D299" s="18">
        <v>1</v>
      </c>
      <c r="E299" s="31" t="s">
        <v>437</v>
      </c>
      <c r="F299" s="40" t="s">
        <v>98</v>
      </c>
      <c r="G299" s="40" t="s">
        <v>323</v>
      </c>
      <c r="H299" s="18" t="s">
        <v>1</v>
      </c>
      <c r="I299" s="18">
        <v>3</v>
      </c>
      <c r="J299" s="22" t="s">
        <v>95</v>
      </c>
      <c r="K299" s="22"/>
      <c r="L299" s="40" t="s">
        <v>323</v>
      </c>
      <c r="M299" s="24" t="s">
        <v>322</v>
      </c>
      <c r="N299" s="15" t="str">
        <f t="shared" si="4"/>
        <v>{"ApiFAQDtl":[
   {"UseLangCd" : "KOR"</v>
      </c>
      <c r="O299" s="24" t="s">
        <v>450</v>
      </c>
    </row>
    <row r="300" spans="1:15" hidden="1">
      <c r="A300" s="15">
        <v>290</v>
      </c>
      <c r="B300" s="15" t="s">
        <v>200</v>
      </c>
      <c r="C300" s="33" t="str">
        <f>VLOOKUP($B300,API목록!$B$11:$C$39,2,0)</f>
        <v>FAQ내역확인</v>
      </c>
      <c r="D300" s="18">
        <v>2</v>
      </c>
      <c r="E300" s="31" t="s">
        <v>437</v>
      </c>
      <c r="F300" s="37" t="s">
        <v>226</v>
      </c>
      <c r="G300" s="40" t="s">
        <v>373</v>
      </c>
      <c r="H300" s="18" t="s">
        <v>374</v>
      </c>
      <c r="I300" s="18">
        <v>20</v>
      </c>
      <c r="J300" s="22" t="s">
        <v>95</v>
      </c>
      <c r="K300" s="22"/>
      <c r="L300" s="19"/>
      <c r="M300" s="40"/>
      <c r="N300" s="15" t="str">
        <f t="shared" si="4"/>
        <v xml:space="preserve">   ,"UserPhnNo" : "01012345678"</v>
      </c>
      <c r="O300" s="24" t="s">
        <v>456</v>
      </c>
    </row>
    <row r="301" spans="1:15" hidden="1">
      <c r="A301" s="15">
        <v>291</v>
      </c>
      <c r="B301" s="15" t="s">
        <v>200</v>
      </c>
      <c r="C301" s="33" t="str">
        <f>VLOOKUP($B301,API목록!$B$11:$C$39,2,0)</f>
        <v>FAQ내역확인</v>
      </c>
      <c r="D301" s="18">
        <v>3</v>
      </c>
      <c r="E301" s="31" t="s">
        <v>437</v>
      </c>
      <c r="F301" s="37" t="s">
        <v>240</v>
      </c>
      <c r="G301" s="40" t="s">
        <v>423</v>
      </c>
      <c r="H301" s="18" t="s">
        <v>381</v>
      </c>
      <c r="I301" s="18">
        <v>9</v>
      </c>
      <c r="J301" s="22" t="s">
        <v>95</v>
      </c>
      <c r="K301" s="22"/>
      <c r="L301" s="19"/>
      <c r="M301" s="40"/>
      <c r="N301" s="15" t="str">
        <f t="shared" si="4"/>
        <v xml:space="preserve">   ,"FaqNo" : 32</v>
      </c>
      <c r="O301" s="40">
        <v>32</v>
      </c>
    </row>
    <row r="302" spans="1:15" hidden="1">
      <c r="A302" s="15">
        <v>292</v>
      </c>
      <c r="B302" s="15" t="s">
        <v>200</v>
      </c>
      <c r="C302" s="33" t="str">
        <f>VLOOKUP($B302,API목록!$B$11:$C$39,2,0)</f>
        <v>FAQ내역확인</v>
      </c>
      <c r="D302" s="18">
        <v>4</v>
      </c>
      <c r="E302" s="32" t="s">
        <v>224</v>
      </c>
      <c r="F302" s="40" t="s">
        <v>88</v>
      </c>
      <c r="G302" s="40" t="s">
        <v>303</v>
      </c>
      <c r="H302" s="18" t="s">
        <v>374</v>
      </c>
      <c r="I302" s="18">
        <v>7</v>
      </c>
      <c r="J302" s="22" t="s">
        <v>95</v>
      </c>
      <c r="K302" s="22"/>
      <c r="L302" s="16" t="s">
        <v>93</v>
      </c>
      <c r="M302" s="40"/>
      <c r="N302" s="15" t="str">
        <f t="shared" si="4"/>
        <v xml:space="preserve">   ,"ProcRsltCd" : "115-000"</v>
      </c>
      <c r="O302" s="24" t="s">
        <v>514</v>
      </c>
    </row>
    <row r="303" spans="1:15" hidden="1">
      <c r="A303" s="15">
        <v>293</v>
      </c>
      <c r="B303" s="15" t="s">
        <v>200</v>
      </c>
      <c r="C303" s="33" t="str">
        <f>VLOOKUP($B303,API목록!$B$11:$C$39,2,0)</f>
        <v>FAQ내역확인</v>
      </c>
      <c r="D303" s="18">
        <v>5</v>
      </c>
      <c r="E303" s="32" t="s">
        <v>224</v>
      </c>
      <c r="F303" s="40" t="s">
        <v>431</v>
      </c>
      <c r="G303" s="40" t="s">
        <v>430</v>
      </c>
      <c r="H303" s="18" t="s">
        <v>1</v>
      </c>
      <c r="I303" s="18">
        <v>1</v>
      </c>
      <c r="J303" s="22" t="s">
        <v>95</v>
      </c>
      <c r="K303" s="22"/>
      <c r="L303" s="19"/>
      <c r="M303" s="24" t="s">
        <v>434</v>
      </c>
      <c r="N303" s="15" t="str">
        <f t="shared" si="4"/>
        <v xml:space="preserve">   ,"RsltMsgPopupYN" : "Y"</v>
      </c>
      <c r="O303" s="24" t="s">
        <v>453</v>
      </c>
    </row>
    <row r="304" spans="1:15" hidden="1">
      <c r="A304" s="15">
        <v>294</v>
      </c>
      <c r="B304" s="15" t="s">
        <v>200</v>
      </c>
      <c r="C304" s="33" t="str">
        <f>VLOOKUP($B304,API목록!$B$11:$C$39,2,0)</f>
        <v>FAQ내역확인</v>
      </c>
      <c r="D304" s="18">
        <v>6</v>
      </c>
      <c r="E304" s="32" t="s">
        <v>224</v>
      </c>
      <c r="F304" s="40" t="s">
        <v>427</v>
      </c>
      <c r="G304" s="40" t="s">
        <v>428</v>
      </c>
      <c r="H304" s="18" t="s">
        <v>374</v>
      </c>
      <c r="I304" s="18">
        <v>300</v>
      </c>
      <c r="J304" s="22" t="s">
        <v>225</v>
      </c>
      <c r="K304" s="22"/>
      <c r="L304" s="19"/>
      <c r="M304" s="40"/>
      <c r="N304" s="15" t="str">
        <f t="shared" si="4"/>
        <v xml:space="preserve">   ,"RsltMsg" : "결과메시지"   }
]}</v>
      </c>
      <c r="O304" s="24" t="s">
        <v>460</v>
      </c>
    </row>
    <row r="305" spans="1:15" hidden="1">
      <c r="A305" s="15">
        <v>295</v>
      </c>
      <c r="B305" s="15" t="s">
        <v>202</v>
      </c>
      <c r="C305" s="33" t="str">
        <f>VLOOKUP($B305,API목록!$B$11:$C$39,2,0)</f>
        <v>광고확인</v>
      </c>
      <c r="D305" s="18">
        <v>1</v>
      </c>
      <c r="E305" s="31" t="s">
        <v>437</v>
      </c>
      <c r="F305" s="40" t="s">
        <v>98</v>
      </c>
      <c r="G305" s="40" t="s">
        <v>323</v>
      </c>
      <c r="H305" s="18" t="s">
        <v>1</v>
      </c>
      <c r="I305" s="18">
        <v>3</v>
      </c>
      <c r="J305" s="22" t="s">
        <v>95</v>
      </c>
      <c r="K305" s="22"/>
      <c r="L305" s="40" t="s">
        <v>323</v>
      </c>
      <c r="M305" s="24" t="s">
        <v>322</v>
      </c>
      <c r="N305" s="15" t="str">
        <f t="shared" si="4"/>
        <v>{"ApiAdvertCheck":[
   {"UseLangCd" : "KOR"</v>
      </c>
      <c r="O305" s="24" t="s">
        <v>450</v>
      </c>
    </row>
    <row r="306" spans="1:15" hidden="1">
      <c r="A306" s="15">
        <v>296</v>
      </c>
      <c r="B306" s="15" t="s">
        <v>202</v>
      </c>
      <c r="C306" s="33" t="str">
        <f>VLOOKUP($B306,API목록!$B$11:$C$39,2,0)</f>
        <v>광고확인</v>
      </c>
      <c r="D306" s="18">
        <v>2</v>
      </c>
      <c r="E306" s="31" t="s">
        <v>437</v>
      </c>
      <c r="F306" s="37" t="s">
        <v>226</v>
      </c>
      <c r="G306" s="40" t="s">
        <v>373</v>
      </c>
      <c r="H306" s="18" t="s">
        <v>374</v>
      </c>
      <c r="I306" s="18">
        <v>20</v>
      </c>
      <c r="J306" s="22" t="s">
        <v>95</v>
      </c>
      <c r="K306" s="22"/>
      <c r="L306" s="19"/>
      <c r="M306" s="40"/>
      <c r="N306" s="15" t="str">
        <f t="shared" si="4"/>
        <v xml:space="preserve">   ,"UserPhnNo" : "01012345678"</v>
      </c>
      <c r="O306" s="24" t="s">
        <v>456</v>
      </c>
    </row>
    <row r="307" spans="1:15" hidden="1">
      <c r="A307" s="15">
        <v>297</v>
      </c>
      <c r="B307" s="15" t="s">
        <v>202</v>
      </c>
      <c r="C307" s="33" t="str">
        <f>VLOOKUP($B307,API목록!$B$11:$C$39,2,0)</f>
        <v>광고확인</v>
      </c>
      <c r="D307" s="18">
        <v>3</v>
      </c>
      <c r="E307" s="31" t="s">
        <v>437</v>
      </c>
      <c r="F307" s="37" t="s">
        <v>241</v>
      </c>
      <c r="G307" s="40" t="s">
        <v>426</v>
      </c>
      <c r="H307" s="18" t="s">
        <v>381</v>
      </c>
      <c r="I307" s="18">
        <v>9</v>
      </c>
      <c r="J307" s="22" t="s">
        <v>95</v>
      </c>
      <c r="K307" s="22"/>
      <c r="L307" s="19"/>
      <c r="M307" s="40"/>
      <c r="N307" s="15" t="str">
        <f t="shared" si="4"/>
        <v xml:space="preserve">   ,"AdvtNo" : 33</v>
      </c>
      <c r="O307" s="40">
        <v>33</v>
      </c>
    </row>
    <row r="308" spans="1:15" hidden="1">
      <c r="A308" s="15">
        <v>298</v>
      </c>
      <c r="B308" s="15" t="s">
        <v>202</v>
      </c>
      <c r="C308" s="33" t="str">
        <f>VLOOKUP($B308,API목록!$B$11:$C$39,2,0)</f>
        <v>광고확인</v>
      </c>
      <c r="D308" s="18">
        <v>4</v>
      </c>
      <c r="E308" s="32" t="s">
        <v>224</v>
      </c>
      <c r="F308" s="40" t="s">
        <v>88</v>
      </c>
      <c r="G308" s="40" t="s">
        <v>303</v>
      </c>
      <c r="H308" s="18" t="s">
        <v>374</v>
      </c>
      <c r="I308" s="18">
        <v>7</v>
      </c>
      <c r="J308" s="22" t="s">
        <v>95</v>
      </c>
      <c r="K308" s="22"/>
      <c r="L308" s="16" t="s">
        <v>93</v>
      </c>
      <c r="M308" s="40"/>
      <c r="N308" s="15" t="str">
        <f t="shared" si="4"/>
        <v xml:space="preserve">   ,"ProcRsltCd" : "116-000"</v>
      </c>
      <c r="O308" s="24" t="s">
        <v>515</v>
      </c>
    </row>
    <row r="309" spans="1:15" hidden="1">
      <c r="A309" s="15">
        <v>299</v>
      </c>
      <c r="B309" s="15" t="s">
        <v>202</v>
      </c>
      <c r="C309" s="33" t="str">
        <f>VLOOKUP($B309,API목록!$B$11:$C$39,2,0)</f>
        <v>광고확인</v>
      </c>
      <c r="D309" s="18">
        <v>5</v>
      </c>
      <c r="E309" s="32" t="s">
        <v>224</v>
      </c>
      <c r="F309" s="40" t="s">
        <v>431</v>
      </c>
      <c r="G309" s="40" t="s">
        <v>430</v>
      </c>
      <c r="H309" s="18" t="s">
        <v>1</v>
      </c>
      <c r="I309" s="18">
        <v>1</v>
      </c>
      <c r="J309" s="22" t="s">
        <v>95</v>
      </c>
      <c r="K309" s="22"/>
      <c r="L309" s="19"/>
      <c r="M309" s="24" t="s">
        <v>434</v>
      </c>
      <c r="N309" s="15" t="str">
        <f t="shared" si="4"/>
        <v xml:space="preserve">   ,"RsltMsgPopupYN" : "Y"</v>
      </c>
      <c r="O309" s="24" t="s">
        <v>453</v>
      </c>
    </row>
    <row r="310" spans="1:15" hidden="1">
      <c r="A310" s="15">
        <v>300</v>
      </c>
      <c r="B310" s="15" t="s">
        <v>202</v>
      </c>
      <c r="C310" s="33" t="str">
        <f>VLOOKUP($B310,API목록!$B$11:$C$39,2,0)</f>
        <v>광고확인</v>
      </c>
      <c r="D310" s="18">
        <v>6</v>
      </c>
      <c r="E310" s="32" t="s">
        <v>224</v>
      </c>
      <c r="F310" s="40" t="s">
        <v>427</v>
      </c>
      <c r="G310" s="40" t="s">
        <v>428</v>
      </c>
      <c r="H310" s="18" t="s">
        <v>374</v>
      </c>
      <c r="I310" s="18">
        <v>300</v>
      </c>
      <c r="J310" s="22" t="s">
        <v>225</v>
      </c>
      <c r="K310" s="22"/>
      <c r="L310" s="19"/>
      <c r="M310" s="40"/>
      <c r="N310" s="15" t="str">
        <f t="shared" si="4"/>
        <v xml:space="preserve">   ,"RsltMsg" : "결과메시지"   }
]}</v>
      </c>
      <c r="O310" s="24" t="s">
        <v>460</v>
      </c>
    </row>
    <row r="311" spans="1:15" hidden="1">
      <c r="A311" s="15">
        <v>301</v>
      </c>
      <c r="B311" s="15" t="s">
        <v>204</v>
      </c>
      <c r="C311" s="33" t="str">
        <f>VLOOKUP($B311,API목록!$B$11:$C$39,2,0)</f>
        <v>문의등록</v>
      </c>
      <c r="D311" s="18">
        <v>1</v>
      </c>
      <c r="E311" s="31" t="s">
        <v>437</v>
      </c>
      <c r="F311" s="40" t="s">
        <v>98</v>
      </c>
      <c r="G311" s="40" t="s">
        <v>323</v>
      </c>
      <c r="H311" s="18" t="s">
        <v>1</v>
      </c>
      <c r="I311" s="18">
        <v>3</v>
      </c>
      <c r="J311" s="22" t="s">
        <v>95</v>
      </c>
      <c r="K311" s="22"/>
      <c r="L311" s="40" t="s">
        <v>323</v>
      </c>
      <c r="M311" s="24" t="s">
        <v>322</v>
      </c>
      <c r="N311" s="15" t="str">
        <f t="shared" si="4"/>
        <v>{"ApiQuestionReg":[
   {"UseLangCd" : "KOR"</v>
      </c>
      <c r="O311" s="24" t="s">
        <v>450</v>
      </c>
    </row>
    <row r="312" spans="1:15" hidden="1">
      <c r="A312" s="15">
        <v>302</v>
      </c>
      <c r="B312" s="15" t="s">
        <v>204</v>
      </c>
      <c r="C312" s="33" t="str">
        <f>VLOOKUP($B312,API목록!$B$11:$C$39,2,0)</f>
        <v>문의등록</v>
      </c>
      <c r="D312" s="18">
        <v>2</v>
      </c>
      <c r="E312" s="31" t="s">
        <v>437</v>
      </c>
      <c r="F312" s="37" t="s">
        <v>226</v>
      </c>
      <c r="G312" s="40" t="s">
        <v>373</v>
      </c>
      <c r="H312" s="18" t="s">
        <v>374</v>
      </c>
      <c r="I312" s="18">
        <v>20</v>
      </c>
      <c r="J312" s="22" t="s">
        <v>95</v>
      </c>
      <c r="K312" s="22"/>
      <c r="L312" s="19"/>
      <c r="M312" s="40"/>
      <c r="N312" s="15" t="str">
        <f t="shared" si="4"/>
        <v xml:space="preserve">   ,"UserPhnNo" : "01012345678"</v>
      </c>
      <c r="O312" s="24" t="s">
        <v>456</v>
      </c>
    </row>
    <row r="313" spans="1:15" ht="17" hidden="1">
      <c r="A313" s="15">
        <v>303</v>
      </c>
      <c r="B313" s="15" t="s">
        <v>204</v>
      </c>
      <c r="C313" s="33" t="str">
        <f>VLOOKUP($B313,API목록!$B$11:$C$39,2,0)</f>
        <v>문의등록</v>
      </c>
      <c r="D313" s="18">
        <v>3</v>
      </c>
      <c r="E313" s="31" t="s">
        <v>437</v>
      </c>
      <c r="F313" s="37" t="s">
        <v>242</v>
      </c>
      <c r="G313" s="40" t="s">
        <v>419</v>
      </c>
      <c r="H313" s="18" t="s">
        <v>374</v>
      </c>
      <c r="I313" s="18">
        <v>50</v>
      </c>
      <c r="J313" s="22" t="s">
        <v>95</v>
      </c>
      <c r="K313" s="22"/>
      <c r="L313" s="19"/>
      <c r="M313" s="40"/>
      <c r="N313" s="15" t="str">
        <f t="shared" si="4"/>
        <v xml:space="preserve">   ,"Email" : "email@email.com"</v>
      </c>
      <c r="O313" s="45" t="s">
        <v>475</v>
      </c>
    </row>
    <row r="314" spans="1:15" hidden="1">
      <c r="A314" s="15">
        <v>304</v>
      </c>
      <c r="B314" s="15" t="s">
        <v>204</v>
      </c>
      <c r="C314" s="33" t="str">
        <f>VLOOKUP($B314,API목록!$B$11:$C$39,2,0)</f>
        <v>문의등록</v>
      </c>
      <c r="D314" s="18">
        <v>4</v>
      </c>
      <c r="E314" s="31" t="s">
        <v>437</v>
      </c>
      <c r="F314" s="37" t="s">
        <v>328</v>
      </c>
      <c r="G314" s="40" t="s">
        <v>420</v>
      </c>
      <c r="H314" s="18" t="s">
        <v>374</v>
      </c>
      <c r="I314" s="18">
        <v>300</v>
      </c>
      <c r="J314" s="22" t="s">
        <v>95</v>
      </c>
      <c r="K314" s="22"/>
      <c r="L314" s="19"/>
      <c r="M314" s="40"/>
      <c r="N314" s="15" t="str">
        <f t="shared" si="4"/>
        <v xml:space="preserve">   ,"InqTitl" : "문의제목"</v>
      </c>
      <c r="O314" s="40" t="s">
        <v>505</v>
      </c>
    </row>
    <row r="315" spans="1:15" hidden="1">
      <c r="A315" s="15">
        <v>305</v>
      </c>
      <c r="B315" s="15" t="s">
        <v>204</v>
      </c>
      <c r="C315" s="33" t="str">
        <f>VLOOKUP($B315,API목록!$B$11:$C$39,2,0)</f>
        <v>문의등록</v>
      </c>
      <c r="D315" s="18">
        <v>5</v>
      </c>
      <c r="E315" s="31" t="s">
        <v>437</v>
      </c>
      <c r="F315" s="37" t="s">
        <v>329</v>
      </c>
      <c r="G315" s="40" t="s">
        <v>420</v>
      </c>
      <c r="H315" s="18" t="s">
        <v>374</v>
      </c>
      <c r="I315" s="18">
        <v>500</v>
      </c>
      <c r="J315" s="22" t="s">
        <v>95</v>
      </c>
      <c r="K315" s="22"/>
      <c r="L315" s="19"/>
      <c r="M315" s="40"/>
      <c r="N315" s="15" t="str">
        <f t="shared" si="4"/>
        <v xml:space="preserve">   ,"InqTitl" : "문의내용"</v>
      </c>
      <c r="O315" s="40" t="s">
        <v>470</v>
      </c>
    </row>
    <row r="316" spans="1:15" hidden="1">
      <c r="A316" s="15">
        <v>306</v>
      </c>
      <c r="B316" s="15" t="s">
        <v>204</v>
      </c>
      <c r="C316" s="33" t="str">
        <f>VLOOKUP($B316,API목록!$B$11:$C$39,2,0)</f>
        <v>문의등록</v>
      </c>
      <c r="D316" s="18">
        <v>6</v>
      </c>
      <c r="E316" s="32" t="s">
        <v>224</v>
      </c>
      <c r="F316" s="40" t="s">
        <v>88</v>
      </c>
      <c r="G316" s="40" t="s">
        <v>303</v>
      </c>
      <c r="H316" s="18" t="s">
        <v>374</v>
      </c>
      <c r="I316" s="18">
        <v>7</v>
      </c>
      <c r="J316" s="22" t="s">
        <v>95</v>
      </c>
      <c r="K316" s="22"/>
      <c r="L316" s="16" t="s">
        <v>93</v>
      </c>
      <c r="M316" s="40"/>
      <c r="N316" s="15" t="str">
        <f t="shared" si="4"/>
        <v xml:space="preserve">   ,"ProcRsltCd" : "117-000"</v>
      </c>
      <c r="O316" s="24" t="s">
        <v>516</v>
      </c>
    </row>
    <row r="317" spans="1:15" hidden="1">
      <c r="A317" s="15">
        <v>307</v>
      </c>
      <c r="B317" s="15" t="s">
        <v>204</v>
      </c>
      <c r="C317" s="33" t="str">
        <f>VLOOKUP($B317,API목록!$B$11:$C$39,2,0)</f>
        <v>문의등록</v>
      </c>
      <c r="D317" s="18">
        <v>7</v>
      </c>
      <c r="E317" s="32" t="s">
        <v>224</v>
      </c>
      <c r="F317" s="40" t="s">
        <v>431</v>
      </c>
      <c r="G317" s="40" t="s">
        <v>430</v>
      </c>
      <c r="H317" s="18" t="s">
        <v>1</v>
      </c>
      <c r="I317" s="18">
        <v>1</v>
      </c>
      <c r="J317" s="22" t="s">
        <v>95</v>
      </c>
      <c r="K317" s="22"/>
      <c r="L317" s="19"/>
      <c r="M317" s="24" t="s">
        <v>434</v>
      </c>
      <c r="N317" s="15" t="str">
        <f t="shared" si="4"/>
        <v xml:space="preserve">   ,"RsltMsgPopupYN" : "Y"</v>
      </c>
      <c r="O317" s="24" t="s">
        <v>453</v>
      </c>
    </row>
    <row r="318" spans="1:15" hidden="1">
      <c r="A318" s="15">
        <v>308</v>
      </c>
      <c r="B318" s="15" t="s">
        <v>204</v>
      </c>
      <c r="C318" s="33" t="str">
        <f>VLOOKUP($B318,API목록!$B$11:$C$39,2,0)</f>
        <v>문의등록</v>
      </c>
      <c r="D318" s="18">
        <v>8</v>
      </c>
      <c r="E318" s="32" t="s">
        <v>224</v>
      </c>
      <c r="F318" s="40" t="s">
        <v>427</v>
      </c>
      <c r="G318" s="40" t="s">
        <v>428</v>
      </c>
      <c r="H318" s="18" t="s">
        <v>374</v>
      </c>
      <c r="I318" s="18">
        <v>300</v>
      </c>
      <c r="J318" s="22" t="s">
        <v>225</v>
      </c>
      <c r="K318" s="22"/>
      <c r="L318" s="19"/>
      <c r="M318" s="40"/>
      <c r="N318" s="15" t="str">
        <f t="shared" si="4"/>
        <v xml:space="preserve">   ,"RsltMsg" : "결과메시지"   }
]}</v>
      </c>
      <c r="O318" s="24" t="s">
        <v>460</v>
      </c>
    </row>
    <row r="319" spans="1:15" hidden="1">
      <c r="A319" s="15">
        <v>309</v>
      </c>
      <c r="B319" s="15" t="s">
        <v>206</v>
      </c>
      <c r="C319" s="33" t="str">
        <f>VLOOKUP($B319,API목록!$B$11:$C$39,2,0)</f>
        <v>문의내역변경</v>
      </c>
      <c r="D319" s="18">
        <v>1</v>
      </c>
      <c r="E319" s="31" t="s">
        <v>437</v>
      </c>
      <c r="F319" s="40" t="s">
        <v>98</v>
      </c>
      <c r="G319" s="40" t="s">
        <v>323</v>
      </c>
      <c r="H319" s="18" t="s">
        <v>1</v>
      </c>
      <c r="I319" s="18">
        <v>3</v>
      </c>
      <c r="J319" s="22" t="s">
        <v>95</v>
      </c>
      <c r="K319" s="22"/>
      <c r="L319" s="40" t="s">
        <v>323</v>
      </c>
      <c r="M319" s="24" t="s">
        <v>322</v>
      </c>
      <c r="N319" s="15" t="str">
        <f t="shared" si="4"/>
        <v>{"ApiQuestionChg":[
   {"UseLangCd" : "KOR"</v>
      </c>
      <c r="O319" s="24" t="s">
        <v>450</v>
      </c>
    </row>
    <row r="320" spans="1:15" hidden="1">
      <c r="A320" s="15">
        <v>310</v>
      </c>
      <c r="B320" s="15" t="s">
        <v>206</v>
      </c>
      <c r="C320" s="33" t="str">
        <f>VLOOKUP($B320,API목록!$B$11:$C$39,2,0)</f>
        <v>문의내역변경</v>
      </c>
      <c r="D320" s="18">
        <v>2</v>
      </c>
      <c r="E320" s="31" t="s">
        <v>437</v>
      </c>
      <c r="F320" s="37" t="s">
        <v>226</v>
      </c>
      <c r="G320" s="40" t="s">
        <v>373</v>
      </c>
      <c r="H320" s="18" t="s">
        <v>374</v>
      </c>
      <c r="I320" s="18">
        <v>20</v>
      </c>
      <c r="J320" s="22" t="s">
        <v>95</v>
      </c>
      <c r="K320" s="22"/>
      <c r="L320" s="19"/>
      <c r="M320" s="40"/>
      <c r="N320" s="15" t="str">
        <f t="shared" si="4"/>
        <v xml:space="preserve">   ,"UserPhnNo" : "01012345678"</v>
      </c>
      <c r="O320" s="24" t="s">
        <v>456</v>
      </c>
    </row>
    <row r="321" spans="1:15" hidden="1">
      <c r="A321" s="15">
        <v>311</v>
      </c>
      <c r="B321" s="15" t="s">
        <v>206</v>
      </c>
      <c r="C321" s="33" t="str">
        <f>VLOOKUP($B321,API목록!$B$11:$C$39,2,0)</f>
        <v>문의내역변경</v>
      </c>
      <c r="D321" s="18">
        <v>3</v>
      </c>
      <c r="E321" s="31" t="s">
        <v>437</v>
      </c>
      <c r="F321" s="37" t="s">
        <v>239</v>
      </c>
      <c r="G321" s="40" t="s">
        <v>417</v>
      </c>
      <c r="H321" s="18" t="s">
        <v>381</v>
      </c>
      <c r="I321" s="18">
        <v>9</v>
      </c>
      <c r="J321" s="22" t="s">
        <v>95</v>
      </c>
      <c r="K321" s="22"/>
      <c r="L321" s="19"/>
      <c r="M321" s="40"/>
      <c r="N321" s="15" t="str">
        <f t="shared" si="4"/>
        <v xml:space="preserve">   ,"InqNo" : 34</v>
      </c>
      <c r="O321" s="40">
        <v>34</v>
      </c>
    </row>
    <row r="322" spans="1:15" ht="17" hidden="1">
      <c r="A322" s="15">
        <v>312</v>
      </c>
      <c r="B322" s="15" t="s">
        <v>206</v>
      </c>
      <c r="C322" s="33" t="str">
        <f>VLOOKUP($B322,API목록!$B$11:$C$39,2,0)</f>
        <v>문의내역변경</v>
      </c>
      <c r="D322" s="18">
        <v>4</v>
      </c>
      <c r="E322" s="31" t="s">
        <v>437</v>
      </c>
      <c r="F322" s="37" t="s">
        <v>242</v>
      </c>
      <c r="G322" s="40" t="s">
        <v>419</v>
      </c>
      <c r="H322" s="18" t="s">
        <v>374</v>
      </c>
      <c r="I322" s="18">
        <v>50</v>
      </c>
      <c r="J322" s="22" t="s">
        <v>95</v>
      </c>
      <c r="K322" s="22"/>
      <c r="L322" s="19"/>
      <c r="M322" s="40"/>
      <c r="N322" s="15" t="str">
        <f t="shared" si="4"/>
        <v xml:space="preserve">   ,"Email" : "email@email.com"</v>
      </c>
      <c r="O322" s="45" t="s">
        <v>475</v>
      </c>
    </row>
    <row r="323" spans="1:15" hidden="1">
      <c r="A323" s="15">
        <v>313</v>
      </c>
      <c r="B323" s="15" t="s">
        <v>206</v>
      </c>
      <c r="C323" s="33" t="str">
        <f>VLOOKUP($B323,API목록!$B$11:$C$39,2,0)</f>
        <v>문의내역변경</v>
      </c>
      <c r="D323" s="18">
        <v>5</v>
      </c>
      <c r="E323" s="31" t="s">
        <v>437</v>
      </c>
      <c r="F323" s="37" t="s">
        <v>328</v>
      </c>
      <c r="G323" s="40" t="s">
        <v>420</v>
      </c>
      <c r="H323" s="18" t="s">
        <v>374</v>
      </c>
      <c r="I323" s="18">
        <v>300</v>
      </c>
      <c r="J323" s="22" t="s">
        <v>95</v>
      </c>
      <c r="K323" s="22"/>
      <c r="L323" s="19"/>
      <c r="M323" s="40"/>
      <c r="N323" s="15" t="str">
        <f t="shared" si="4"/>
        <v xml:space="preserve">   ,"InqTitl" : "문의제목"</v>
      </c>
      <c r="O323" s="40" t="s">
        <v>505</v>
      </c>
    </row>
    <row r="324" spans="1:15" hidden="1">
      <c r="A324" s="15">
        <v>314</v>
      </c>
      <c r="B324" s="15" t="s">
        <v>206</v>
      </c>
      <c r="C324" s="33" t="str">
        <f>VLOOKUP($B324,API목록!$B$11:$C$39,2,0)</f>
        <v>문의내역변경</v>
      </c>
      <c r="D324" s="18">
        <v>6</v>
      </c>
      <c r="E324" s="31" t="s">
        <v>437</v>
      </c>
      <c r="F324" s="37" t="s">
        <v>329</v>
      </c>
      <c r="G324" s="40" t="s">
        <v>420</v>
      </c>
      <c r="H324" s="18" t="s">
        <v>374</v>
      </c>
      <c r="I324" s="18">
        <v>500</v>
      </c>
      <c r="J324" s="22" t="s">
        <v>95</v>
      </c>
      <c r="K324" s="22"/>
      <c r="L324" s="19"/>
      <c r="M324" s="40"/>
      <c r="N324" s="15" t="str">
        <f t="shared" si="4"/>
        <v xml:space="preserve">   ,"InqTitl" : "문의내용"</v>
      </c>
      <c r="O324" s="40" t="s">
        <v>470</v>
      </c>
    </row>
    <row r="325" spans="1:15" hidden="1">
      <c r="A325" s="15">
        <v>315</v>
      </c>
      <c r="B325" s="15" t="s">
        <v>206</v>
      </c>
      <c r="C325" s="33" t="str">
        <f>VLOOKUP($B325,API목록!$B$11:$C$39,2,0)</f>
        <v>문의내역변경</v>
      </c>
      <c r="D325" s="18">
        <v>7</v>
      </c>
      <c r="E325" s="32" t="s">
        <v>224</v>
      </c>
      <c r="F325" s="40" t="s">
        <v>88</v>
      </c>
      <c r="G325" s="40" t="s">
        <v>303</v>
      </c>
      <c r="H325" s="18" t="s">
        <v>374</v>
      </c>
      <c r="I325" s="18">
        <v>7</v>
      </c>
      <c r="J325" s="22" t="s">
        <v>95</v>
      </c>
      <c r="K325" s="22"/>
      <c r="L325" s="16" t="s">
        <v>93</v>
      </c>
      <c r="M325" s="40"/>
      <c r="N325" s="15" t="str">
        <f t="shared" si="4"/>
        <v xml:space="preserve">   ,"ProcRsltCd" : "118-000"</v>
      </c>
      <c r="O325" s="24" t="s">
        <v>517</v>
      </c>
    </row>
    <row r="326" spans="1:15" hidden="1">
      <c r="A326" s="15">
        <v>316</v>
      </c>
      <c r="B326" s="15" t="s">
        <v>206</v>
      </c>
      <c r="C326" s="33" t="str">
        <f>VLOOKUP($B326,API목록!$B$11:$C$39,2,0)</f>
        <v>문의내역변경</v>
      </c>
      <c r="D326" s="18">
        <v>8</v>
      </c>
      <c r="E326" s="32" t="s">
        <v>224</v>
      </c>
      <c r="F326" s="40" t="s">
        <v>431</v>
      </c>
      <c r="G326" s="40" t="s">
        <v>430</v>
      </c>
      <c r="H326" s="18" t="s">
        <v>1</v>
      </c>
      <c r="I326" s="18">
        <v>1</v>
      </c>
      <c r="J326" s="22" t="s">
        <v>95</v>
      </c>
      <c r="K326" s="22"/>
      <c r="L326" s="19"/>
      <c r="M326" s="24" t="s">
        <v>434</v>
      </c>
      <c r="N326" s="15" t="str">
        <f t="shared" si="4"/>
        <v xml:space="preserve">   ,"RsltMsgPopupYN" : "Y"</v>
      </c>
      <c r="O326" s="24" t="s">
        <v>453</v>
      </c>
    </row>
    <row r="327" spans="1:15" hidden="1">
      <c r="A327" s="15">
        <v>317</v>
      </c>
      <c r="B327" s="15" t="s">
        <v>206</v>
      </c>
      <c r="C327" s="33" t="str">
        <f>VLOOKUP($B327,API목록!$B$11:$C$39,2,0)</f>
        <v>문의내역변경</v>
      </c>
      <c r="D327" s="18">
        <v>9</v>
      </c>
      <c r="E327" s="32" t="s">
        <v>224</v>
      </c>
      <c r="F327" s="40" t="s">
        <v>427</v>
      </c>
      <c r="G327" s="40" t="s">
        <v>428</v>
      </c>
      <c r="H327" s="18" t="s">
        <v>374</v>
      </c>
      <c r="I327" s="18">
        <v>300</v>
      </c>
      <c r="J327" s="22" t="s">
        <v>225</v>
      </c>
      <c r="K327" s="22"/>
      <c r="L327" s="19"/>
      <c r="M327" s="40"/>
      <c r="N327" s="15" t="str">
        <f t="shared" si="4"/>
        <v xml:space="preserve">   ,"RsltMsg" : "결과메시지"   }
]}</v>
      </c>
      <c r="O327" s="24" t="s">
        <v>460</v>
      </c>
    </row>
    <row r="328" spans="1:15" hidden="1">
      <c r="A328" s="15">
        <v>318</v>
      </c>
      <c r="B328" s="15" t="s">
        <v>208</v>
      </c>
      <c r="C328" s="33" t="str">
        <f>VLOOKUP($B328,API목록!$B$11:$C$39,2,0)</f>
        <v>문의내역삭제</v>
      </c>
      <c r="D328" s="18">
        <v>1</v>
      </c>
      <c r="E328" s="31" t="s">
        <v>437</v>
      </c>
      <c r="F328" s="40" t="s">
        <v>98</v>
      </c>
      <c r="G328" s="40" t="s">
        <v>323</v>
      </c>
      <c r="H328" s="18" t="s">
        <v>1</v>
      </c>
      <c r="I328" s="18">
        <v>3</v>
      </c>
      <c r="J328" s="22" t="s">
        <v>95</v>
      </c>
      <c r="K328" s="22"/>
      <c r="L328" s="40" t="s">
        <v>323</v>
      </c>
      <c r="M328" s="24" t="s">
        <v>322</v>
      </c>
      <c r="N328" s="15" t="str">
        <f t="shared" si="4"/>
        <v>{"ApiQuestionDel":[
   {"UseLangCd" : "KOR"</v>
      </c>
      <c r="O328" s="24" t="s">
        <v>450</v>
      </c>
    </row>
    <row r="329" spans="1:15" hidden="1">
      <c r="A329" s="15">
        <v>319</v>
      </c>
      <c r="B329" s="15" t="s">
        <v>208</v>
      </c>
      <c r="C329" s="33" t="str">
        <f>VLOOKUP($B329,API목록!$B$11:$C$39,2,0)</f>
        <v>문의내역삭제</v>
      </c>
      <c r="D329" s="18">
        <v>2</v>
      </c>
      <c r="E329" s="31" t="s">
        <v>437</v>
      </c>
      <c r="F329" s="37" t="s">
        <v>226</v>
      </c>
      <c r="G329" s="40" t="s">
        <v>373</v>
      </c>
      <c r="H329" s="18" t="s">
        <v>374</v>
      </c>
      <c r="I329" s="18">
        <v>20</v>
      </c>
      <c r="J329" s="22" t="s">
        <v>95</v>
      </c>
      <c r="K329" s="22"/>
      <c r="L329" s="19"/>
      <c r="M329" s="40"/>
      <c r="N329" s="15" t="str">
        <f t="shared" si="4"/>
        <v xml:space="preserve">   ,"UserPhnNo" : "01012345678"</v>
      </c>
      <c r="O329" s="24" t="s">
        <v>456</v>
      </c>
    </row>
    <row r="330" spans="1:15" hidden="1">
      <c r="A330" s="15">
        <v>320</v>
      </c>
      <c r="B330" s="15" t="s">
        <v>208</v>
      </c>
      <c r="C330" s="33" t="str">
        <f>VLOOKUP($B330,API목록!$B$11:$C$39,2,0)</f>
        <v>문의내역삭제</v>
      </c>
      <c r="D330" s="18">
        <v>3</v>
      </c>
      <c r="E330" s="31" t="s">
        <v>437</v>
      </c>
      <c r="F330" s="37" t="s">
        <v>239</v>
      </c>
      <c r="G330" s="40" t="s">
        <v>417</v>
      </c>
      <c r="H330" s="18" t="s">
        <v>381</v>
      </c>
      <c r="I330" s="18">
        <v>9</v>
      </c>
      <c r="J330" s="22" t="s">
        <v>95</v>
      </c>
      <c r="K330" s="22"/>
      <c r="L330" s="19"/>
      <c r="M330" s="40"/>
      <c r="N330" s="15" t="str">
        <f t="shared" si="4"/>
        <v xml:space="preserve">   ,"InqNo" : 35</v>
      </c>
      <c r="O330" s="40">
        <v>35</v>
      </c>
    </row>
    <row r="331" spans="1:15" hidden="1">
      <c r="A331" s="15">
        <v>321</v>
      </c>
      <c r="B331" s="15" t="s">
        <v>208</v>
      </c>
      <c r="C331" s="33" t="str">
        <f>VLOOKUP($B331,API목록!$B$11:$C$39,2,0)</f>
        <v>문의내역삭제</v>
      </c>
      <c r="D331" s="18">
        <v>4</v>
      </c>
      <c r="E331" s="32" t="s">
        <v>224</v>
      </c>
      <c r="F331" s="40" t="s">
        <v>88</v>
      </c>
      <c r="G331" s="40" t="s">
        <v>303</v>
      </c>
      <c r="H331" s="18" t="s">
        <v>374</v>
      </c>
      <c r="I331" s="18">
        <v>7</v>
      </c>
      <c r="J331" s="22" t="s">
        <v>95</v>
      </c>
      <c r="K331" s="22"/>
      <c r="L331" s="16" t="s">
        <v>93</v>
      </c>
      <c r="M331" s="40"/>
      <c r="N331" s="15" t="str">
        <f t="shared" si="4"/>
        <v xml:space="preserve">   ,"ProcRsltCd" : "119-000"</v>
      </c>
      <c r="O331" s="24" t="s">
        <v>518</v>
      </c>
    </row>
    <row r="332" spans="1:15" hidden="1">
      <c r="A332" s="15">
        <v>322</v>
      </c>
      <c r="B332" s="15" t="s">
        <v>208</v>
      </c>
      <c r="C332" s="33" t="str">
        <f>VLOOKUP($B332,API목록!$B$11:$C$39,2,0)</f>
        <v>문의내역삭제</v>
      </c>
      <c r="D332" s="18">
        <v>5</v>
      </c>
      <c r="E332" s="32" t="s">
        <v>224</v>
      </c>
      <c r="F332" s="40" t="s">
        <v>431</v>
      </c>
      <c r="G332" s="40" t="s">
        <v>430</v>
      </c>
      <c r="H332" s="18" t="s">
        <v>1</v>
      </c>
      <c r="I332" s="18">
        <v>1</v>
      </c>
      <c r="J332" s="22" t="s">
        <v>95</v>
      </c>
      <c r="K332" s="22"/>
      <c r="L332" s="19"/>
      <c r="M332" s="24" t="s">
        <v>434</v>
      </c>
      <c r="N332" s="15" t="str">
        <f t="shared" ref="N332:N333" si="5">IF(D332=1,"{"&amp;""""&amp;B332&amp;""""&amp;":["&amp;CHAR(10)&amp;"   {"&amp;""""&amp;G332&amp;""""&amp;" : "&amp;O332,"   ,"&amp;""""&amp;G332&amp;""""&amp;" : "&amp;O332)&amp;IF(D333=1,"   }"&amp;CHAR(10)&amp;"]}","")</f>
        <v xml:space="preserve">   ,"RsltMsgPopupYN" : "Y"</v>
      </c>
      <c r="O332" s="24" t="s">
        <v>453</v>
      </c>
    </row>
    <row r="333" spans="1:15" hidden="1">
      <c r="A333" s="15">
        <v>323</v>
      </c>
      <c r="B333" s="15" t="s">
        <v>208</v>
      </c>
      <c r="C333" s="33" t="str">
        <f>VLOOKUP($B333,API목록!$B$11:$C$39,2,0)</f>
        <v>문의내역삭제</v>
      </c>
      <c r="D333" s="18">
        <v>6</v>
      </c>
      <c r="E333" s="32" t="s">
        <v>224</v>
      </c>
      <c r="F333" s="40" t="s">
        <v>427</v>
      </c>
      <c r="G333" s="40" t="s">
        <v>428</v>
      </c>
      <c r="H333" s="18" t="s">
        <v>374</v>
      </c>
      <c r="I333" s="18">
        <v>300</v>
      </c>
      <c r="J333" s="22" t="s">
        <v>225</v>
      </c>
      <c r="K333" s="22"/>
      <c r="L333" s="19"/>
      <c r="M333" s="40"/>
      <c r="N333" s="15" t="str">
        <f t="shared" si="5"/>
        <v xml:space="preserve">   ,"RsltMsg" : "결과메시지"   }
]}</v>
      </c>
      <c r="O333" s="24" t="s">
        <v>460</v>
      </c>
    </row>
    <row r="334" spans="1:15" hidden="1">
      <c r="D334" s="55">
        <v>1</v>
      </c>
      <c r="N334" s="43"/>
    </row>
    <row r="335" spans="1:15">
      <c r="N335" s="43"/>
    </row>
    <row r="336" spans="1:15">
      <c r="N336" s="43"/>
    </row>
    <row r="337" spans="14:14">
      <c r="N337" s="43"/>
    </row>
    <row r="338" spans="14:14">
      <c r="N338" s="43"/>
    </row>
    <row r="339" spans="14:14">
      <c r="N339" s="43"/>
    </row>
    <row r="340" spans="14:14">
      <c r="N340" s="43"/>
    </row>
    <row r="341" spans="14:14">
      <c r="N341" s="43"/>
    </row>
    <row r="342" spans="14:14">
      <c r="N342" s="43"/>
    </row>
    <row r="343" spans="14:14">
      <c r="N343" s="43"/>
    </row>
    <row r="344" spans="14:14">
      <c r="N344" s="43"/>
    </row>
    <row r="345" spans="14:14">
      <c r="N345" s="43"/>
    </row>
    <row r="346" spans="14:14">
      <c r="N346" s="43"/>
    </row>
    <row r="347" spans="14:14">
      <c r="N347" s="43"/>
    </row>
    <row r="348" spans="14:14">
      <c r="N348" s="43"/>
    </row>
    <row r="349" spans="14:14">
      <c r="N349" s="43"/>
    </row>
    <row r="350" spans="14:14">
      <c r="N350" s="43"/>
    </row>
    <row r="351" spans="14:14">
      <c r="N351" s="43"/>
    </row>
    <row r="352" spans="14:14">
      <c r="N352" s="43"/>
    </row>
    <row r="353" spans="14:14">
      <c r="N353" s="43"/>
    </row>
    <row r="354" spans="14:14">
      <c r="N354" s="43"/>
    </row>
    <row r="355" spans="14:14">
      <c r="N355" s="43"/>
    </row>
    <row r="356" spans="14:14">
      <c r="N356" s="43"/>
    </row>
    <row r="357" spans="14:14">
      <c r="N357" s="43"/>
    </row>
    <row r="358" spans="14:14">
      <c r="N358" s="43"/>
    </row>
    <row r="359" spans="14:14">
      <c r="N359" s="43"/>
    </row>
    <row r="360" spans="14:14">
      <c r="N360" s="43"/>
    </row>
    <row r="361" spans="14:14">
      <c r="N361" s="43"/>
    </row>
    <row r="362" spans="14:14">
      <c r="N362" s="43"/>
    </row>
    <row r="363" spans="14:14">
      <c r="N363" s="43"/>
    </row>
    <row r="364" spans="14:14">
      <c r="N364" s="43"/>
    </row>
    <row r="365" spans="14:14">
      <c r="N365" s="43"/>
    </row>
    <row r="366" spans="14:14">
      <c r="N366" s="43"/>
    </row>
    <row r="367" spans="14:14">
      <c r="N367" s="43"/>
    </row>
    <row r="368" spans="14:14">
      <c r="N368" s="43"/>
    </row>
    <row r="369" spans="14:14">
      <c r="N369" s="43"/>
    </row>
    <row r="370" spans="14:14">
      <c r="N370" s="43"/>
    </row>
    <row r="371" spans="14:14">
      <c r="N371" s="43"/>
    </row>
    <row r="372" spans="14:14">
      <c r="N372" s="43"/>
    </row>
    <row r="373" spans="14:14">
      <c r="N373" s="43"/>
    </row>
    <row r="374" spans="14:14">
      <c r="N374" s="43"/>
    </row>
    <row r="375" spans="14:14">
      <c r="N375" s="43"/>
    </row>
    <row r="376" spans="14:14">
      <c r="N376" s="43"/>
    </row>
    <row r="377" spans="14:14">
      <c r="N377" s="43"/>
    </row>
    <row r="378" spans="14:14">
      <c r="N378" s="43"/>
    </row>
    <row r="379" spans="14:14">
      <c r="N379" s="43"/>
    </row>
    <row r="380" spans="14:14">
      <c r="N380" s="43"/>
    </row>
    <row r="381" spans="14:14">
      <c r="N381" s="43"/>
    </row>
    <row r="382" spans="14:14">
      <c r="N382" s="43"/>
    </row>
    <row r="383" spans="14:14">
      <c r="N383" s="43"/>
    </row>
    <row r="384" spans="14:14">
      <c r="N384" s="43"/>
    </row>
    <row r="385" spans="14:14">
      <c r="N385" s="43"/>
    </row>
    <row r="386" spans="14:14">
      <c r="N386" s="43"/>
    </row>
    <row r="387" spans="14:14">
      <c r="N387" s="43"/>
    </row>
    <row r="388" spans="14:14">
      <c r="N388" s="43"/>
    </row>
    <row r="389" spans="14:14">
      <c r="N389" s="43"/>
    </row>
    <row r="390" spans="14:14">
      <c r="N390" s="43"/>
    </row>
    <row r="391" spans="14:14">
      <c r="N391" s="43"/>
    </row>
  </sheetData>
  <autoFilter ref="A10:P334">
    <filterColumn colId="2">
      <filters>
        <filter val="전화수신"/>
      </filters>
    </filterColumn>
  </autoFilter>
  <sortState ref="A11:M333">
    <sortCondition ref="A11:A333"/>
  </sortState>
  <mergeCells count="3">
    <mergeCell ref="A1:M1"/>
    <mergeCell ref="L3:M3"/>
    <mergeCell ref="H3:J3"/>
  </mergeCells>
  <phoneticPr fontId="3" type="noConversion"/>
  <hyperlinks>
    <hyperlink ref="O48" r:id="rId1" display="http://www.abc.co.kr"/>
    <hyperlink ref="O246" r:id="rId2" display="email@email.com"/>
    <hyperlink ref="O86" r:id="rId3" display="http://www.abc.co.kr"/>
    <hyperlink ref="O111" r:id="rId4" display="http://www.abc.co.kr"/>
    <hyperlink ref="O313" r:id="rId5" display="email@email.com"/>
    <hyperlink ref="O322" r:id="rId6" display="email@email.com"/>
  </hyperlinks>
  <pageMargins left="0.7" right="0.7" top="0.75" bottom="0.75" header="0.3" footer="0.3"/>
  <pageSetup paperSize="9" orientation="portrait" r:id="rId7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 filterMode="1"/>
  <dimension ref="A1:G233"/>
  <sheetViews>
    <sheetView workbookViewId="0">
      <pane ySplit="10" topLeftCell="A11" activePane="bottomLeft" state="frozen"/>
      <selection pane="bottomLeft" activeCell="A10" sqref="A10"/>
    </sheetView>
  </sheetViews>
  <sheetFormatPr defaultColWidth="9" defaultRowHeight="16"/>
  <cols>
    <col min="1" max="1" width="6.5" style="17" bestFit="1" customWidth="1"/>
    <col min="2" max="2" width="13.75" style="17" bestFit="1" customWidth="1"/>
    <col min="3" max="3" width="16.75" style="17" bestFit="1" customWidth="1"/>
    <col min="4" max="4" width="13.5" style="17" bestFit="1" customWidth="1"/>
    <col min="5" max="5" width="39.5" style="17" bestFit="1" customWidth="1"/>
    <col min="6" max="6" width="12" style="17" bestFit="1" customWidth="1"/>
    <col min="7" max="7" width="29.83203125" style="17" bestFit="1" customWidth="1"/>
    <col min="8" max="16384" width="9" style="17"/>
  </cols>
  <sheetData>
    <row r="1" spans="1:7" ht="25.5">
      <c r="A1" s="65" t="s">
        <v>522</v>
      </c>
      <c r="B1" s="65"/>
      <c r="C1" s="65"/>
      <c r="D1" s="65"/>
      <c r="E1" s="65"/>
      <c r="F1" s="65"/>
      <c r="G1" s="65"/>
    </row>
    <row r="2" spans="1:7" hidden="1"/>
    <row r="3" spans="1:7" hidden="1"/>
    <row r="4" spans="1:7" hidden="1"/>
    <row r="5" spans="1:7" hidden="1"/>
    <row r="6" spans="1:7" hidden="1"/>
    <row r="7" spans="1:7" hidden="1"/>
    <row r="8" spans="1:7" hidden="1"/>
    <row r="9" spans="1:7" hidden="1"/>
    <row r="10" spans="1:7">
      <c r="A10" s="26" t="s">
        <v>120</v>
      </c>
      <c r="B10" s="26" t="s">
        <v>523</v>
      </c>
      <c r="C10" s="26" t="s">
        <v>524</v>
      </c>
      <c r="D10" s="26" t="s">
        <v>525</v>
      </c>
      <c r="E10" s="26" t="s">
        <v>526</v>
      </c>
      <c r="F10" s="26" t="s">
        <v>527</v>
      </c>
      <c r="G10" s="26" t="s">
        <v>29</v>
      </c>
    </row>
    <row r="11" spans="1:7" hidden="1">
      <c r="A11" s="15">
        <v>1</v>
      </c>
      <c r="B11" s="15" t="s">
        <v>279</v>
      </c>
      <c r="C11" s="15" t="s">
        <v>278</v>
      </c>
      <c r="D11" s="46" t="s">
        <v>213</v>
      </c>
      <c r="E11" s="15" t="s">
        <v>528</v>
      </c>
      <c r="F11" s="15">
        <v>1</v>
      </c>
      <c r="G11" s="15"/>
    </row>
    <row r="12" spans="1:7" hidden="1">
      <c r="A12" s="15">
        <v>2</v>
      </c>
      <c r="B12" s="15" t="s">
        <v>279</v>
      </c>
      <c r="C12" s="15" t="s">
        <v>278</v>
      </c>
      <c r="D12" s="46" t="s">
        <v>214</v>
      </c>
      <c r="E12" s="15" t="s">
        <v>529</v>
      </c>
      <c r="F12" s="15">
        <v>2</v>
      </c>
      <c r="G12" s="15"/>
    </row>
    <row r="13" spans="1:7" hidden="1">
      <c r="A13" s="15">
        <v>3</v>
      </c>
      <c r="B13" s="15" t="s">
        <v>279</v>
      </c>
      <c r="C13" s="15" t="s">
        <v>278</v>
      </c>
      <c r="D13" s="46" t="s">
        <v>215</v>
      </c>
      <c r="E13" s="15" t="s">
        <v>530</v>
      </c>
      <c r="F13" s="15">
        <v>3</v>
      </c>
      <c r="G13" s="15"/>
    </row>
    <row r="14" spans="1:7" hidden="1">
      <c r="A14" s="15">
        <v>4</v>
      </c>
      <c r="B14" s="15" t="s">
        <v>279</v>
      </c>
      <c r="C14" s="15" t="s">
        <v>278</v>
      </c>
      <c r="D14" s="46" t="s">
        <v>216</v>
      </c>
      <c r="E14" s="15" t="s">
        <v>531</v>
      </c>
      <c r="F14" s="15">
        <v>4</v>
      </c>
      <c r="G14" s="15"/>
    </row>
    <row r="15" spans="1:7" hidden="1">
      <c r="A15" s="15">
        <v>5</v>
      </c>
      <c r="B15" s="15" t="s">
        <v>279</v>
      </c>
      <c r="C15" s="15" t="s">
        <v>278</v>
      </c>
      <c r="D15" s="46" t="s">
        <v>217</v>
      </c>
      <c r="E15" s="15" t="s">
        <v>532</v>
      </c>
      <c r="F15" s="15">
        <v>5</v>
      </c>
      <c r="G15" s="15"/>
    </row>
    <row r="16" spans="1:7" hidden="1">
      <c r="A16" s="15">
        <v>6</v>
      </c>
      <c r="B16" s="15" t="s">
        <v>279</v>
      </c>
      <c r="C16" s="15" t="s">
        <v>278</v>
      </c>
      <c r="D16" s="46" t="s">
        <v>533</v>
      </c>
      <c r="E16" s="15" t="s">
        <v>534</v>
      </c>
      <c r="F16" s="15">
        <v>6</v>
      </c>
      <c r="G16" s="15"/>
    </row>
    <row r="17" spans="1:7" hidden="1">
      <c r="A17" s="15">
        <v>7</v>
      </c>
      <c r="B17" s="15" t="s">
        <v>283</v>
      </c>
      <c r="C17" s="15" t="s">
        <v>282</v>
      </c>
      <c r="D17" s="46" t="s">
        <v>213</v>
      </c>
      <c r="E17" s="35" t="s">
        <v>535</v>
      </c>
      <c r="F17" s="15">
        <v>1</v>
      </c>
      <c r="G17" s="15"/>
    </row>
    <row r="18" spans="1:7" hidden="1">
      <c r="A18" s="15">
        <v>8</v>
      </c>
      <c r="B18" s="15" t="s">
        <v>283</v>
      </c>
      <c r="C18" s="15" t="s">
        <v>282</v>
      </c>
      <c r="D18" s="46" t="s">
        <v>214</v>
      </c>
      <c r="E18" s="35" t="s">
        <v>536</v>
      </c>
      <c r="F18" s="15">
        <v>2</v>
      </c>
      <c r="G18" s="15"/>
    </row>
    <row r="19" spans="1:7" hidden="1">
      <c r="A19" s="15">
        <v>9</v>
      </c>
      <c r="B19" s="15" t="s">
        <v>283</v>
      </c>
      <c r="C19" s="15" t="s">
        <v>282</v>
      </c>
      <c r="D19" s="46" t="s">
        <v>215</v>
      </c>
      <c r="E19" s="35" t="s">
        <v>537</v>
      </c>
      <c r="F19" s="15">
        <v>3</v>
      </c>
      <c r="G19" s="15"/>
    </row>
    <row r="20" spans="1:7" hidden="1">
      <c r="A20" s="15">
        <v>10</v>
      </c>
      <c r="B20" s="15" t="s">
        <v>281</v>
      </c>
      <c r="C20" s="35" t="s">
        <v>280</v>
      </c>
      <c r="D20" s="46" t="s">
        <v>213</v>
      </c>
      <c r="E20" s="15" t="s">
        <v>538</v>
      </c>
      <c r="F20" s="15">
        <v>1</v>
      </c>
      <c r="G20" s="15" t="s">
        <v>539</v>
      </c>
    </row>
    <row r="21" spans="1:7" hidden="1">
      <c r="A21" s="15">
        <v>11</v>
      </c>
      <c r="B21" s="15" t="s">
        <v>281</v>
      </c>
      <c r="C21" s="35" t="s">
        <v>280</v>
      </c>
      <c r="D21" s="47" t="s">
        <v>214</v>
      </c>
      <c r="E21" s="15" t="s">
        <v>540</v>
      </c>
      <c r="F21" s="15">
        <v>2</v>
      </c>
      <c r="G21" s="15"/>
    </row>
    <row r="22" spans="1:7" hidden="1">
      <c r="A22" s="15">
        <v>12</v>
      </c>
      <c r="B22" s="15" t="s">
        <v>281</v>
      </c>
      <c r="C22" s="35" t="s">
        <v>280</v>
      </c>
      <c r="D22" s="47" t="s">
        <v>541</v>
      </c>
      <c r="E22" s="15" t="s">
        <v>542</v>
      </c>
      <c r="F22" s="15">
        <v>3</v>
      </c>
      <c r="G22" s="15"/>
    </row>
    <row r="23" spans="1:7" hidden="1">
      <c r="A23" s="15">
        <v>13</v>
      </c>
      <c r="B23" s="15" t="s">
        <v>281</v>
      </c>
      <c r="C23" s="35" t="s">
        <v>280</v>
      </c>
      <c r="D23" s="47" t="s">
        <v>216</v>
      </c>
      <c r="E23" s="15" t="s">
        <v>543</v>
      </c>
      <c r="F23" s="15">
        <v>4</v>
      </c>
      <c r="G23" s="15" t="s">
        <v>544</v>
      </c>
    </row>
    <row r="24" spans="1:7" hidden="1">
      <c r="A24" s="15">
        <v>14</v>
      </c>
      <c r="B24" s="35" t="s">
        <v>286</v>
      </c>
      <c r="C24" s="48" t="s">
        <v>545</v>
      </c>
      <c r="D24" s="46" t="s">
        <v>213</v>
      </c>
      <c r="E24" s="15" t="s">
        <v>546</v>
      </c>
      <c r="F24" s="15">
        <v>1</v>
      </c>
      <c r="G24" s="15"/>
    </row>
    <row r="25" spans="1:7" hidden="1">
      <c r="A25" s="15">
        <v>15</v>
      </c>
      <c r="B25" s="35" t="s">
        <v>286</v>
      </c>
      <c r="C25" s="48" t="s">
        <v>545</v>
      </c>
      <c r="D25" s="46" t="s">
        <v>214</v>
      </c>
      <c r="E25" s="15" t="s">
        <v>547</v>
      </c>
      <c r="F25" s="15">
        <v>2</v>
      </c>
      <c r="G25" s="15"/>
    </row>
    <row r="26" spans="1:7" hidden="1">
      <c r="A26" s="15">
        <v>16</v>
      </c>
      <c r="B26" s="35" t="s">
        <v>286</v>
      </c>
      <c r="C26" s="48" t="s">
        <v>545</v>
      </c>
      <c r="D26" s="46" t="s">
        <v>215</v>
      </c>
      <c r="E26" s="15" t="s">
        <v>548</v>
      </c>
      <c r="F26" s="15">
        <v>3</v>
      </c>
      <c r="G26" s="36"/>
    </row>
    <row r="27" spans="1:7" hidden="1">
      <c r="A27" s="15">
        <v>17</v>
      </c>
      <c r="B27" s="15" t="s">
        <v>285</v>
      </c>
      <c r="C27" s="35" t="s">
        <v>284</v>
      </c>
      <c r="D27" s="46" t="s">
        <v>213</v>
      </c>
      <c r="E27" s="15" t="s">
        <v>549</v>
      </c>
      <c r="F27" s="15">
        <v>1</v>
      </c>
      <c r="G27" s="15"/>
    </row>
    <row r="28" spans="1:7" hidden="1">
      <c r="A28" s="15">
        <v>18</v>
      </c>
      <c r="B28" s="15" t="s">
        <v>285</v>
      </c>
      <c r="C28" s="35" t="s">
        <v>284</v>
      </c>
      <c r="D28" s="46" t="s">
        <v>214</v>
      </c>
      <c r="E28" s="15" t="s">
        <v>550</v>
      </c>
      <c r="F28" s="15">
        <v>2</v>
      </c>
      <c r="G28" s="15"/>
    </row>
    <row r="29" spans="1:7" hidden="1">
      <c r="A29" s="15">
        <v>19</v>
      </c>
      <c r="B29" s="15" t="s">
        <v>316</v>
      </c>
      <c r="C29" s="15" t="s">
        <v>315</v>
      </c>
      <c r="D29" s="46" t="s">
        <v>213</v>
      </c>
      <c r="E29" s="15" t="s">
        <v>551</v>
      </c>
      <c r="F29" s="15">
        <v>1</v>
      </c>
      <c r="G29" s="15"/>
    </row>
    <row r="30" spans="1:7" hidden="1">
      <c r="A30" s="15">
        <v>20</v>
      </c>
      <c r="B30" s="15" t="s">
        <v>316</v>
      </c>
      <c r="C30" s="15" t="s">
        <v>315</v>
      </c>
      <c r="D30" s="46" t="s">
        <v>214</v>
      </c>
      <c r="E30" s="15" t="s">
        <v>552</v>
      </c>
      <c r="F30" s="15">
        <v>2</v>
      </c>
      <c r="G30" s="15"/>
    </row>
    <row r="31" spans="1:7" hidden="1">
      <c r="A31" s="15">
        <v>21</v>
      </c>
      <c r="B31" s="15" t="s">
        <v>316</v>
      </c>
      <c r="C31" s="15" t="s">
        <v>315</v>
      </c>
      <c r="D31" s="46" t="s">
        <v>215</v>
      </c>
      <c r="E31" s="15" t="s">
        <v>553</v>
      </c>
      <c r="F31" s="15">
        <v>3</v>
      </c>
      <c r="G31" s="15"/>
    </row>
    <row r="32" spans="1:7" hidden="1">
      <c r="A32" s="15">
        <v>22</v>
      </c>
      <c r="B32" s="15" t="s">
        <v>289</v>
      </c>
      <c r="C32" s="37" t="s">
        <v>288</v>
      </c>
      <c r="D32" s="46" t="s">
        <v>213</v>
      </c>
      <c r="E32" s="15" t="s">
        <v>554</v>
      </c>
      <c r="F32" s="15">
        <v>1</v>
      </c>
      <c r="G32" s="15"/>
    </row>
    <row r="33" spans="1:7" hidden="1">
      <c r="A33" s="15">
        <v>23</v>
      </c>
      <c r="B33" s="15" t="s">
        <v>289</v>
      </c>
      <c r="C33" s="37" t="s">
        <v>288</v>
      </c>
      <c r="D33" s="46" t="s">
        <v>214</v>
      </c>
      <c r="E33" s="15" t="s">
        <v>555</v>
      </c>
      <c r="F33" s="15">
        <v>2</v>
      </c>
      <c r="G33" s="15"/>
    </row>
    <row r="34" spans="1:7" hidden="1">
      <c r="A34" s="15">
        <v>24</v>
      </c>
      <c r="B34" s="15" t="s">
        <v>289</v>
      </c>
      <c r="C34" s="37" t="s">
        <v>288</v>
      </c>
      <c r="D34" s="46" t="s">
        <v>541</v>
      </c>
      <c r="E34" s="15" t="s">
        <v>556</v>
      </c>
      <c r="F34" s="15">
        <v>3</v>
      </c>
      <c r="G34" s="15"/>
    </row>
    <row r="35" spans="1:7" hidden="1">
      <c r="A35" s="15">
        <v>25</v>
      </c>
      <c r="B35" s="15" t="s">
        <v>293</v>
      </c>
      <c r="C35" s="15" t="s">
        <v>87</v>
      </c>
      <c r="D35" s="46" t="s">
        <v>213</v>
      </c>
      <c r="E35" s="35" t="s">
        <v>557</v>
      </c>
      <c r="F35" s="15">
        <v>1</v>
      </c>
      <c r="G35" s="15"/>
    </row>
    <row r="36" spans="1:7" hidden="1">
      <c r="A36" s="15">
        <v>26</v>
      </c>
      <c r="B36" s="15" t="s">
        <v>293</v>
      </c>
      <c r="C36" s="15" t="s">
        <v>87</v>
      </c>
      <c r="D36" s="46" t="s">
        <v>214</v>
      </c>
      <c r="E36" s="35" t="s">
        <v>558</v>
      </c>
      <c r="F36" s="15">
        <v>2</v>
      </c>
      <c r="G36" s="15" t="s">
        <v>559</v>
      </c>
    </row>
    <row r="37" spans="1:7" hidden="1">
      <c r="A37" s="15">
        <v>27</v>
      </c>
      <c r="B37" s="15" t="s">
        <v>293</v>
      </c>
      <c r="C37" s="15" t="s">
        <v>87</v>
      </c>
      <c r="D37" s="46" t="s">
        <v>215</v>
      </c>
      <c r="E37" s="35" t="s">
        <v>560</v>
      </c>
      <c r="F37" s="15">
        <v>3</v>
      </c>
      <c r="G37" s="15" t="s">
        <v>561</v>
      </c>
    </row>
    <row r="38" spans="1:7" hidden="1">
      <c r="A38" s="15">
        <v>28</v>
      </c>
      <c r="B38" s="15" t="s">
        <v>293</v>
      </c>
      <c r="C38" s="15" t="s">
        <v>87</v>
      </c>
      <c r="D38" s="46" t="s">
        <v>216</v>
      </c>
      <c r="E38" s="35" t="s">
        <v>562</v>
      </c>
      <c r="F38" s="15">
        <v>4</v>
      </c>
      <c r="G38" s="15" t="s">
        <v>563</v>
      </c>
    </row>
    <row r="39" spans="1:7" hidden="1">
      <c r="A39" s="15">
        <v>29</v>
      </c>
      <c r="B39" s="15" t="s">
        <v>293</v>
      </c>
      <c r="C39" s="15" t="s">
        <v>87</v>
      </c>
      <c r="D39" s="46" t="s">
        <v>217</v>
      </c>
      <c r="E39" s="35" t="s">
        <v>564</v>
      </c>
      <c r="F39" s="15">
        <v>5</v>
      </c>
      <c r="G39" s="15" t="s">
        <v>565</v>
      </c>
    </row>
    <row r="40" spans="1:7" hidden="1">
      <c r="A40" s="15">
        <v>30</v>
      </c>
      <c r="B40" s="35" t="s">
        <v>305</v>
      </c>
      <c r="C40" s="35" t="s">
        <v>304</v>
      </c>
      <c r="D40" s="46" t="s">
        <v>213</v>
      </c>
      <c r="E40" s="15" t="s">
        <v>566</v>
      </c>
      <c r="F40" s="15">
        <v>1</v>
      </c>
      <c r="G40" s="15"/>
    </row>
    <row r="41" spans="1:7" hidden="1">
      <c r="A41" s="15">
        <v>31</v>
      </c>
      <c r="B41" s="35" t="s">
        <v>305</v>
      </c>
      <c r="C41" s="35" t="s">
        <v>304</v>
      </c>
      <c r="D41" s="46" t="s">
        <v>214</v>
      </c>
      <c r="E41" s="15" t="s">
        <v>567</v>
      </c>
      <c r="F41" s="15">
        <v>2</v>
      </c>
      <c r="G41" s="15"/>
    </row>
    <row r="42" spans="1:7" hidden="1">
      <c r="A42" s="15">
        <v>32</v>
      </c>
      <c r="B42" s="35" t="s">
        <v>305</v>
      </c>
      <c r="C42" s="35" t="s">
        <v>304</v>
      </c>
      <c r="D42" s="46" t="s">
        <v>215</v>
      </c>
      <c r="E42" s="15" t="s">
        <v>568</v>
      </c>
      <c r="F42" s="15">
        <v>3</v>
      </c>
      <c r="G42" s="15"/>
    </row>
    <row r="43" spans="1:7" hidden="1">
      <c r="A43" s="15">
        <v>33</v>
      </c>
      <c r="B43" s="15" t="s">
        <v>569</v>
      </c>
      <c r="C43" s="15" t="s">
        <v>339</v>
      </c>
      <c r="D43" s="46" t="s">
        <v>213</v>
      </c>
      <c r="E43" s="35" t="s">
        <v>570</v>
      </c>
      <c r="F43" s="15">
        <v>1</v>
      </c>
      <c r="G43" s="15"/>
    </row>
    <row r="44" spans="1:7" hidden="1">
      <c r="A44" s="15">
        <v>34</v>
      </c>
      <c r="B44" s="15" t="s">
        <v>569</v>
      </c>
      <c r="C44" s="15" t="s">
        <v>339</v>
      </c>
      <c r="D44" s="46" t="s">
        <v>214</v>
      </c>
      <c r="E44" s="35" t="s">
        <v>571</v>
      </c>
      <c r="F44" s="15">
        <v>2</v>
      </c>
      <c r="G44" s="15"/>
    </row>
    <row r="45" spans="1:7" hidden="1">
      <c r="A45" s="15">
        <v>35</v>
      </c>
      <c r="B45" s="15" t="s">
        <v>569</v>
      </c>
      <c r="C45" s="15" t="s">
        <v>339</v>
      </c>
      <c r="D45" s="46" t="s">
        <v>215</v>
      </c>
      <c r="E45" s="35" t="s">
        <v>572</v>
      </c>
      <c r="F45" s="15">
        <v>3</v>
      </c>
      <c r="G45" s="15"/>
    </row>
    <row r="46" spans="1:7" hidden="1">
      <c r="A46" s="15">
        <v>36</v>
      </c>
      <c r="B46" s="15" t="s">
        <v>291</v>
      </c>
      <c r="C46" s="15" t="s">
        <v>290</v>
      </c>
      <c r="D46" s="46" t="s">
        <v>213</v>
      </c>
      <c r="E46" s="15" t="s">
        <v>573</v>
      </c>
      <c r="F46" s="15">
        <v>1</v>
      </c>
      <c r="G46" s="15" t="s">
        <v>574</v>
      </c>
    </row>
    <row r="47" spans="1:7" hidden="1">
      <c r="A47" s="15">
        <v>37</v>
      </c>
      <c r="B47" s="15" t="s">
        <v>291</v>
      </c>
      <c r="C47" s="15" t="s">
        <v>290</v>
      </c>
      <c r="D47" s="46" t="s">
        <v>214</v>
      </c>
      <c r="E47" s="15" t="s">
        <v>575</v>
      </c>
      <c r="F47" s="15">
        <v>2</v>
      </c>
      <c r="G47" s="15" t="s">
        <v>574</v>
      </c>
    </row>
    <row r="48" spans="1:7" hidden="1">
      <c r="A48" s="15">
        <v>38</v>
      </c>
      <c r="B48" s="15" t="s">
        <v>291</v>
      </c>
      <c r="C48" s="15" t="s">
        <v>290</v>
      </c>
      <c r="D48" s="46" t="s">
        <v>215</v>
      </c>
      <c r="E48" s="15" t="s">
        <v>576</v>
      </c>
      <c r="F48" s="15">
        <v>3</v>
      </c>
      <c r="G48" s="15" t="s">
        <v>574</v>
      </c>
    </row>
    <row r="49" spans="1:7" hidden="1">
      <c r="A49" s="15">
        <v>39</v>
      </c>
      <c r="B49" s="15" t="s">
        <v>291</v>
      </c>
      <c r="C49" s="15" t="s">
        <v>290</v>
      </c>
      <c r="D49" s="46" t="s">
        <v>216</v>
      </c>
      <c r="E49" s="15" t="s">
        <v>577</v>
      </c>
      <c r="F49" s="15">
        <v>4</v>
      </c>
      <c r="G49" s="15" t="s">
        <v>574</v>
      </c>
    </row>
    <row r="50" spans="1:7" hidden="1">
      <c r="A50" s="15">
        <v>40</v>
      </c>
      <c r="B50" s="15" t="s">
        <v>291</v>
      </c>
      <c r="C50" s="15" t="s">
        <v>290</v>
      </c>
      <c r="D50" s="46" t="s">
        <v>217</v>
      </c>
      <c r="E50" s="15" t="s">
        <v>578</v>
      </c>
      <c r="F50" s="15">
        <v>5</v>
      </c>
      <c r="G50" s="15" t="s">
        <v>574</v>
      </c>
    </row>
    <row r="51" spans="1:7" hidden="1">
      <c r="A51" s="15">
        <v>41</v>
      </c>
      <c r="B51" s="15" t="s">
        <v>291</v>
      </c>
      <c r="C51" s="15" t="s">
        <v>290</v>
      </c>
      <c r="D51" s="46" t="s">
        <v>218</v>
      </c>
      <c r="E51" s="15" t="s">
        <v>579</v>
      </c>
      <c r="F51" s="15">
        <v>6</v>
      </c>
      <c r="G51" s="15" t="s">
        <v>574</v>
      </c>
    </row>
    <row r="52" spans="1:7" hidden="1">
      <c r="A52" s="15">
        <v>42</v>
      </c>
      <c r="B52" s="15" t="s">
        <v>291</v>
      </c>
      <c r="C52" s="15" t="s">
        <v>290</v>
      </c>
      <c r="D52" s="46" t="s">
        <v>219</v>
      </c>
      <c r="E52" s="15" t="s">
        <v>580</v>
      </c>
      <c r="F52" s="15">
        <v>7</v>
      </c>
      <c r="G52" s="15" t="s">
        <v>574</v>
      </c>
    </row>
    <row r="53" spans="1:7" hidden="1">
      <c r="A53" s="15">
        <v>43</v>
      </c>
      <c r="B53" s="15" t="s">
        <v>291</v>
      </c>
      <c r="C53" s="15" t="s">
        <v>290</v>
      </c>
      <c r="D53" s="46" t="s">
        <v>220</v>
      </c>
      <c r="E53" s="15" t="s">
        <v>581</v>
      </c>
      <c r="F53" s="15">
        <v>8</v>
      </c>
      <c r="G53" s="15" t="s">
        <v>574</v>
      </c>
    </row>
    <row r="54" spans="1:7" hidden="1">
      <c r="A54" s="15">
        <v>44</v>
      </c>
      <c r="B54" s="15" t="s">
        <v>291</v>
      </c>
      <c r="C54" s="15" t="s">
        <v>290</v>
      </c>
      <c r="D54" s="46" t="s">
        <v>221</v>
      </c>
      <c r="E54" s="15" t="s">
        <v>582</v>
      </c>
      <c r="F54" s="15">
        <v>9</v>
      </c>
      <c r="G54" s="15" t="s">
        <v>574</v>
      </c>
    </row>
    <row r="55" spans="1:7" hidden="1">
      <c r="A55" s="15">
        <v>45</v>
      </c>
      <c r="B55" s="15" t="s">
        <v>291</v>
      </c>
      <c r="C55" s="15" t="s">
        <v>290</v>
      </c>
      <c r="D55" s="46" t="s">
        <v>222</v>
      </c>
      <c r="E55" s="15" t="s">
        <v>583</v>
      </c>
      <c r="F55" s="15">
        <v>10</v>
      </c>
      <c r="G55" s="15" t="s">
        <v>574</v>
      </c>
    </row>
    <row r="56" spans="1:7" s="50" customFormat="1" hidden="1">
      <c r="A56" s="36">
        <v>46</v>
      </c>
      <c r="B56" s="36" t="s">
        <v>291</v>
      </c>
      <c r="C56" s="36" t="s">
        <v>290</v>
      </c>
      <c r="D56" s="49" t="s">
        <v>584</v>
      </c>
      <c r="E56" s="36" t="s">
        <v>585</v>
      </c>
      <c r="F56" s="36">
        <v>11</v>
      </c>
      <c r="G56" s="36" t="s">
        <v>574</v>
      </c>
    </row>
    <row r="57" spans="1:7" s="50" customFormat="1" hidden="1">
      <c r="A57" s="36">
        <v>47</v>
      </c>
      <c r="B57" s="36" t="s">
        <v>291</v>
      </c>
      <c r="C57" s="36" t="s">
        <v>290</v>
      </c>
      <c r="D57" s="49" t="s">
        <v>586</v>
      </c>
      <c r="E57" s="36" t="s">
        <v>587</v>
      </c>
      <c r="F57" s="36">
        <v>12</v>
      </c>
      <c r="G57" s="36" t="s">
        <v>574</v>
      </c>
    </row>
    <row r="58" spans="1:7" hidden="1">
      <c r="A58" s="15">
        <v>48</v>
      </c>
      <c r="B58" s="15" t="s">
        <v>291</v>
      </c>
      <c r="C58" s="15" t="s">
        <v>290</v>
      </c>
      <c r="D58" s="46" t="s">
        <v>588</v>
      </c>
      <c r="E58" s="15" t="s">
        <v>589</v>
      </c>
      <c r="F58" s="15">
        <v>13</v>
      </c>
      <c r="G58" s="15" t="s">
        <v>557</v>
      </c>
    </row>
    <row r="59" spans="1:7" hidden="1">
      <c r="A59" s="15">
        <v>49</v>
      </c>
      <c r="B59" s="15" t="s">
        <v>291</v>
      </c>
      <c r="C59" s="15" t="s">
        <v>290</v>
      </c>
      <c r="D59" s="46" t="s">
        <v>590</v>
      </c>
      <c r="E59" s="15" t="s">
        <v>591</v>
      </c>
      <c r="F59" s="15">
        <v>14</v>
      </c>
      <c r="G59" s="15" t="s">
        <v>557</v>
      </c>
    </row>
    <row r="60" spans="1:7" hidden="1">
      <c r="A60" s="15">
        <v>50</v>
      </c>
      <c r="B60" s="15" t="s">
        <v>291</v>
      </c>
      <c r="C60" s="15" t="s">
        <v>290</v>
      </c>
      <c r="D60" s="46" t="s">
        <v>592</v>
      </c>
      <c r="E60" s="15" t="s">
        <v>593</v>
      </c>
      <c r="F60" s="15">
        <v>15</v>
      </c>
      <c r="G60" s="15" t="s">
        <v>557</v>
      </c>
    </row>
    <row r="61" spans="1:7" hidden="1">
      <c r="A61" s="15">
        <v>51</v>
      </c>
      <c r="B61" s="15" t="s">
        <v>291</v>
      </c>
      <c r="C61" s="15" t="s">
        <v>290</v>
      </c>
      <c r="D61" s="46" t="s">
        <v>594</v>
      </c>
      <c r="E61" s="15" t="s">
        <v>595</v>
      </c>
      <c r="F61" s="15">
        <v>16</v>
      </c>
      <c r="G61" s="15" t="s">
        <v>557</v>
      </c>
    </row>
    <row r="62" spans="1:7" hidden="1">
      <c r="A62" s="15">
        <v>52</v>
      </c>
      <c r="B62" s="15" t="s">
        <v>291</v>
      </c>
      <c r="C62" s="15" t="s">
        <v>290</v>
      </c>
      <c r="D62" s="46" t="s">
        <v>596</v>
      </c>
      <c r="E62" s="15" t="s">
        <v>597</v>
      </c>
      <c r="F62" s="15">
        <v>17</v>
      </c>
      <c r="G62" s="15" t="s">
        <v>557</v>
      </c>
    </row>
    <row r="63" spans="1:7" hidden="1">
      <c r="A63" s="15">
        <v>53</v>
      </c>
      <c r="B63" s="15" t="s">
        <v>291</v>
      </c>
      <c r="C63" s="15" t="s">
        <v>290</v>
      </c>
      <c r="D63" s="46" t="s">
        <v>598</v>
      </c>
      <c r="E63" s="15" t="s">
        <v>599</v>
      </c>
      <c r="F63" s="15">
        <v>18</v>
      </c>
      <c r="G63" s="15" t="s">
        <v>557</v>
      </c>
    </row>
    <row r="64" spans="1:7" hidden="1">
      <c r="A64" s="15">
        <v>54</v>
      </c>
      <c r="B64" s="15" t="s">
        <v>291</v>
      </c>
      <c r="C64" s="15" t="s">
        <v>290</v>
      </c>
      <c r="D64" s="46" t="s">
        <v>533</v>
      </c>
      <c r="E64" s="15" t="s">
        <v>534</v>
      </c>
      <c r="F64" s="15">
        <v>19</v>
      </c>
      <c r="G64" s="15"/>
    </row>
    <row r="65" spans="1:7" hidden="1">
      <c r="A65" s="15">
        <v>55</v>
      </c>
      <c r="B65" s="15" t="s">
        <v>307</v>
      </c>
      <c r="C65" s="15" t="s">
        <v>306</v>
      </c>
      <c r="D65" s="46" t="s">
        <v>213</v>
      </c>
      <c r="E65" s="35" t="s">
        <v>600</v>
      </c>
      <c r="F65" s="15">
        <v>1</v>
      </c>
      <c r="G65" s="15"/>
    </row>
    <row r="66" spans="1:7" hidden="1">
      <c r="A66" s="15">
        <v>56</v>
      </c>
      <c r="B66" s="15" t="s">
        <v>307</v>
      </c>
      <c r="C66" s="15" t="s">
        <v>306</v>
      </c>
      <c r="D66" s="46" t="s">
        <v>214</v>
      </c>
      <c r="E66" s="35" t="s">
        <v>601</v>
      </c>
      <c r="F66" s="15">
        <v>2</v>
      </c>
      <c r="G66" s="15"/>
    </row>
    <row r="67" spans="1:7" hidden="1">
      <c r="A67" s="15">
        <v>57</v>
      </c>
      <c r="B67" s="15" t="s">
        <v>307</v>
      </c>
      <c r="C67" s="15" t="s">
        <v>306</v>
      </c>
      <c r="D67" s="46" t="s">
        <v>215</v>
      </c>
      <c r="E67" s="35" t="s">
        <v>602</v>
      </c>
      <c r="F67" s="15">
        <v>3</v>
      </c>
      <c r="G67" s="15"/>
    </row>
    <row r="68" spans="1:7" hidden="1">
      <c r="A68" s="15">
        <v>58</v>
      </c>
      <c r="B68" s="15" t="s">
        <v>307</v>
      </c>
      <c r="C68" s="15" t="s">
        <v>306</v>
      </c>
      <c r="D68" s="46" t="s">
        <v>216</v>
      </c>
      <c r="E68" s="35" t="s">
        <v>603</v>
      </c>
      <c r="F68" s="15">
        <v>4</v>
      </c>
      <c r="G68" s="36"/>
    </row>
    <row r="69" spans="1:7" hidden="1">
      <c r="A69" s="15">
        <v>59</v>
      </c>
      <c r="B69" s="15" t="s">
        <v>307</v>
      </c>
      <c r="C69" s="15" t="s">
        <v>306</v>
      </c>
      <c r="D69" s="46" t="s">
        <v>217</v>
      </c>
      <c r="E69" s="35" t="s">
        <v>604</v>
      </c>
      <c r="F69" s="15">
        <v>5</v>
      </c>
      <c r="G69" s="36"/>
    </row>
    <row r="70" spans="1:7" hidden="1">
      <c r="A70" s="15">
        <v>60</v>
      </c>
      <c r="B70" s="15" t="s">
        <v>300</v>
      </c>
      <c r="C70" s="15" t="s">
        <v>299</v>
      </c>
      <c r="D70" s="46" t="s">
        <v>213</v>
      </c>
      <c r="E70" s="15" t="s">
        <v>605</v>
      </c>
      <c r="F70" s="15">
        <v>1</v>
      </c>
      <c r="G70" s="15"/>
    </row>
    <row r="71" spans="1:7" hidden="1">
      <c r="A71" s="15">
        <v>61</v>
      </c>
      <c r="B71" s="15" t="s">
        <v>301</v>
      </c>
      <c r="C71" s="15" t="s">
        <v>299</v>
      </c>
      <c r="D71" s="46" t="s">
        <v>214</v>
      </c>
      <c r="E71" s="15" t="s">
        <v>606</v>
      </c>
      <c r="F71" s="15">
        <v>2</v>
      </c>
      <c r="G71" s="15"/>
    </row>
    <row r="72" spans="1:7" hidden="1">
      <c r="A72" s="15">
        <v>62</v>
      </c>
      <c r="B72" s="15" t="s">
        <v>301</v>
      </c>
      <c r="C72" s="15" t="s">
        <v>299</v>
      </c>
      <c r="D72" s="46" t="s">
        <v>215</v>
      </c>
      <c r="E72" s="15" t="s">
        <v>607</v>
      </c>
      <c r="F72" s="15">
        <v>3</v>
      </c>
      <c r="G72" s="15"/>
    </row>
    <row r="73" spans="1:7" hidden="1">
      <c r="A73" s="15">
        <v>63</v>
      </c>
      <c r="B73" s="15" t="s">
        <v>314</v>
      </c>
      <c r="C73" s="15" t="s">
        <v>313</v>
      </c>
      <c r="D73" s="46" t="s">
        <v>608</v>
      </c>
      <c r="E73" s="15" t="s">
        <v>609</v>
      </c>
      <c r="F73" s="15">
        <v>1</v>
      </c>
      <c r="G73" s="15" t="s">
        <v>610</v>
      </c>
    </row>
    <row r="74" spans="1:7" hidden="1">
      <c r="A74" s="15">
        <v>64</v>
      </c>
      <c r="B74" s="15" t="s">
        <v>314</v>
      </c>
      <c r="C74" s="15" t="s">
        <v>313</v>
      </c>
      <c r="D74" s="46" t="s">
        <v>611</v>
      </c>
      <c r="E74" s="15" t="s">
        <v>612</v>
      </c>
      <c r="F74" s="15">
        <v>2</v>
      </c>
      <c r="G74" s="15" t="s">
        <v>613</v>
      </c>
    </row>
    <row r="75" spans="1:7" hidden="1">
      <c r="A75" s="15">
        <v>65</v>
      </c>
      <c r="B75" s="15" t="s">
        <v>314</v>
      </c>
      <c r="C75" s="15" t="s">
        <v>313</v>
      </c>
      <c r="D75" s="46" t="s">
        <v>614</v>
      </c>
      <c r="E75" s="15" t="s">
        <v>615</v>
      </c>
      <c r="F75" s="15">
        <v>3</v>
      </c>
      <c r="G75" s="15" t="s">
        <v>616</v>
      </c>
    </row>
    <row r="76" spans="1:7" hidden="1">
      <c r="A76" s="15">
        <v>66</v>
      </c>
      <c r="B76" s="15" t="s">
        <v>314</v>
      </c>
      <c r="C76" s="15" t="s">
        <v>313</v>
      </c>
      <c r="D76" s="46" t="s">
        <v>617</v>
      </c>
      <c r="E76" s="15" t="s">
        <v>618</v>
      </c>
      <c r="F76" s="15">
        <v>4</v>
      </c>
      <c r="G76" s="15" t="s">
        <v>619</v>
      </c>
    </row>
    <row r="77" spans="1:7" hidden="1">
      <c r="A77" s="15">
        <v>67</v>
      </c>
      <c r="B77" s="15" t="s">
        <v>314</v>
      </c>
      <c r="C77" s="15" t="s">
        <v>313</v>
      </c>
      <c r="D77" s="46" t="s">
        <v>620</v>
      </c>
      <c r="E77" s="15" t="s">
        <v>621</v>
      </c>
      <c r="F77" s="15">
        <v>5</v>
      </c>
      <c r="G77" s="47" t="s">
        <v>622</v>
      </c>
    </row>
    <row r="78" spans="1:7" hidden="1">
      <c r="A78" s="15">
        <v>68</v>
      </c>
      <c r="B78" s="15" t="s">
        <v>314</v>
      </c>
      <c r="C78" s="15" t="s">
        <v>313</v>
      </c>
      <c r="D78" s="46" t="s">
        <v>623</v>
      </c>
      <c r="E78" s="15" t="s">
        <v>624</v>
      </c>
      <c r="F78" s="15">
        <v>6</v>
      </c>
      <c r="G78" s="47" t="s">
        <v>625</v>
      </c>
    </row>
    <row r="79" spans="1:7" hidden="1">
      <c r="A79" s="15">
        <v>69</v>
      </c>
      <c r="B79" s="15" t="s">
        <v>314</v>
      </c>
      <c r="C79" s="15" t="s">
        <v>313</v>
      </c>
      <c r="D79" s="46" t="s">
        <v>626</v>
      </c>
      <c r="E79" s="15" t="s">
        <v>627</v>
      </c>
      <c r="F79" s="15">
        <v>7</v>
      </c>
      <c r="G79" s="15" t="s">
        <v>628</v>
      </c>
    </row>
    <row r="80" spans="1:7" hidden="1">
      <c r="A80" s="15">
        <v>70</v>
      </c>
      <c r="B80" s="15" t="s">
        <v>314</v>
      </c>
      <c r="C80" s="15" t="s">
        <v>313</v>
      </c>
      <c r="D80" s="46" t="s">
        <v>629</v>
      </c>
      <c r="E80" s="15" t="s">
        <v>630</v>
      </c>
      <c r="F80" s="15">
        <v>8</v>
      </c>
      <c r="G80" s="15" t="s">
        <v>631</v>
      </c>
    </row>
    <row r="81" spans="1:7" hidden="1">
      <c r="A81" s="15">
        <v>71</v>
      </c>
      <c r="B81" s="15" t="s">
        <v>314</v>
      </c>
      <c r="C81" s="15" t="s">
        <v>313</v>
      </c>
      <c r="D81" s="47" t="s">
        <v>632</v>
      </c>
      <c r="E81" s="35" t="s">
        <v>633</v>
      </c>
      <c r="F81" s="15">
        <v>9</v>
      </c>
      <c r="G81" s="35" t="s">
        <v>634</v>
      </c>
    </row>
    <row r="82" spans="1:7" hidden="1">
      <c r="A82" s="15">
        <v>72</v>
      </c>
      <c r="B82" s="15" t="s">
        <v>314</v>
      </c>
      <c r="C82" s="15" t="s">
        <v>313</v>
      </c>
      <c r="D82" s="47" t="s">
        <v>635</v>
      </c>
      <c r="E82" s="35" t="s">
        <v>636</v>
      </c>
      <c r="F82" s="15">
        <v>10</v>
      </c>
      <c r="G82" s="35" t="s">
        <v>637</v>
      </c>
    </row>
    <row r="83" spans="1:7" hidden="1">
      <c r="A83" s="15">
        <v>73</v>
      </c>
      <c r="B83" s="15" t="s">
        <v>314</v>
      </c>
      <c r="C83" s="15" t="s">
        <v>313</v>
      </c>
      <c r="D83" s="47" t="s">
        <v>638</v>
      </c>
      <c r="E83" s="35" t="s">
        <v>639</v>
      </c>
      <c r="F83" s="15">
        <v>11</v>
      </c>
      <c r="G83" s="35" t="s">
        <v>640</v>
      </c>
    </row>
    <row r="84" spans="1:7" hidden="1">
      <c r="A84" s="15">
        <v>74</v>
      </c>
      <c r="B84" s="15" t="s">
        <v>314</v>
      </c>
      <c r="C84" s="15" t="s">
        <v>313</v>
      </c>
      <c r="D84" s="47" t="s">
        <v>641</v>
      </c>
      <c r="E84" s="35" t="s">
        <v>642</v>
      </c>
      <c r="F84" s="15">
        <v>12</v>
      </c>
      <c r="G84" s="35" t="s">
        <v>643</v>
      </c>
    </row>
    <row r="85" spans="1:7" hidden="1">
      <c r="A85" s="15">
        <v>75</v>
      </c>
      <c r="B85" s="15" t="s">
        <v>314</v>
      </c>
      <c r="C85" s="15" t="s">
        <v>313</v>
      </c>
      <c r="D85" s="47" t="s">
        <v>644</v>
      </c>
      <c r="E85" s="51" t="s">
        <v>645</v>
      </c>
      <c r="F85" s="15">
        <v>13</v>
      </c>
      <c r="G85" s="35" t="s">
        <v>646</v>
      </c>
    </row>
    <row r="86" spans="1:7" hidden="1">
      <c r="A86" s="15">
        <v>76</v>
      </c>
      <c r="B86" s="15" t="s">
        <v>314</v>
      </c>
      <c r="C86" s="15" t="s">
        <v>313</v>
      </c>
      <c r="D86" s="47" t="s">
        <v>647</v>
      </c>
      <c r="E86" s="15" t="s">
        <v>627</v>
      </c>
      <c r="F86" s="15">
        <v>14</v>
      </c>
      <c r="G86" s="35" t="s">
        <v>648</v>
      </c>
    </row>
    <row r="87" spans="1:7" hidden="1">
      <c r="A87" s="15">
        <v>77</v>
      </c>
      <c r="B87" s="15" t="s">
        <v>318</v>
      </c>
      <c r="C87" s="15" t="s">
        <v>317</v>
      </c>
      <c r="D87" s="47" t="s">
        <v>649</v>
      </c>
      <c r="E87" s="15" t="s">
        <v>650</v>
      </c>
      <c r="F87" s="15">
        <v>1</v>
      </c>
      <c r="G87" s="35"/>
    </row>
    <row r="88" spans="1:7" hidden="1">
      <c r="A88" s="15">
        <v>78</v>
      </c>
      <c r="B88" s="15" t="s">
        <v>318</v>
      </c>
      <c r="C88" s="15" t="s">
        <v>317</v>
      </c>
      <c r="D88" s="47" t="s">
        <v>287</v>
      </c>
      <c r="E88" s="15" t="s">
        <v>651</v>
      </c>
      <c r="F88" s="15">
        <v>2</v>
      </c>
      <c r="G88" s="35"/>
    </row>
    <row r="89" spans="1:7" hidden="1">
      <c r="A89" s="15">
        <v>79</v>
      </c>
      <c r="B89" s="15" t="s">
        <v>303</v>
      </c>
      <c r="C89" s="15" t="s">
        <v>302</v>
      </c>
      <c r="D89" s="46" t="s">
        <v>652</v>
      </c>
      <c r="E89" s="15" t="s">
        <v>653</v>
      </c>
      <c r="F89" s="15">
        <v>1</v>
      </c>
      <c r="G89" s="15"/>
    </row>
    <row r="90" spans="1:7" hidden="1">
      <c r="A90" s="15">
        <v>80</v>
      </c>
      <c r="B90" s="15" t="s">
        <v>303</v>
      </c>
      <c r="C90" s="15" t="s">
        <v>302</v>
      </c>
      <c r="D90" s="46" t="s">
        <v>654</v>
      </c>
      <c r="E90" s="15" t="s">
        <v>655</v>
      </c>
      <c r="F90" s="15">
        <v>2</v>
      </c>
      <c r="G90" s="15"/>
    </row>
    <row r="91" spans="1:7" hidden="1">
      <c r="A91" s="15">
        <v>81</v>
      </c>
      <c r="B91" s="15" t="s">
        <v>303</v>
      </c>
      <c r="C91" s="15" t="s">
        <v>302</v>
      </c>
      <c r="D91" s="46" t="s">
        <v>656</v>
      </c>
      <c r="E91" s="15" t="s">
        <v>657</v>
      </c>
      <c r="F91" s="15">
        <v>3</v>
      </c>
      <c r="G91" s="15"/>
    </row>
    <row r="92" spans="1:7" hidden="1">
      <c r="A92" s="15">
        <v>82</v>
      </c>
      <c r="B92" s="15" t="s">
        <v>303</v>
      </c>
      <c r="C92" s="15" t="s">
        <v>302</v>
      </c>
      <c r="D92" s="46" t="s">
        <v>658</v>
      </c>
      <c r="E92" s="15" t="s">
        <v>659</v>
      </c>
      <c r="F92" s="15">
        <v>4</v>
      </c>
      <c r="G92" s="15"/>
    </row>
    <row r="93" spans="1:7" hidden="1">
      <c r="A93" s="15">
        <v>83</v>
      </c>
      <c r="B93" s="15" t="s">
        <v>303</v>
      </c>
      <c r="C93" s="15" t="s">
        <v>302</v>
      </c>
      <c r="D93" s="46" t="s">
        <v>660</v>
      </c>
      <c r="E93" s="15" t="s">
        <v>661</v>
      </c>
      <c r="F93" s="15">
        <v>5</v>
      </c>
      <c r="G93" s="15"/>
    </row>
    <row r="94" spans="1:7" hidden="1">
      <c r="A94" s="15">
        <v>84</v>
      </c>
      <c r="B94" s="15" t="s">
        <v>303</v>
      </c>
      <c r="C94" s="15" t="s">
        <v>302</v>
      </c>
      <c r="D94" s="46" t="s">
        <v>662</v>
      </c>
      <c r="E94" s="15" t="s">
        <v>663</v>
      </c>
      <c r="F94" s="15">
        <v>6</v>
      </c>
      <c r="G94" s="15"/>
    </row>
    <row r="95" spans="1:7" hidden="1">
      <c r="A95" s="15">
        <v>85</v>
      </c>
      <c r="B95" s="15" t="s">
        <v>303</v>
      </c>
      <c r="C95" s="15" t="s">
        <v>302</v>
      </c>
      <c r="D95" s="46" t="s">
        <v>664</v>
      </c>
      <c r="E95" s="15" t="s">
        <v>665</v>
      </c>
      <c r="F95" s="15">
        <v>7</v>
      </c>
      <c r="G95" s="15"/>
    </row>
    <row r="96" spans="1:7" hidden="1">
      <c r="A96" s="15">
        <v>86</v>
      </c>
      <c r="B96" s="15" t="s">
        <v>303</v>
      </c>
      <c r="C96" s="15" t="s">
        <v>302</v>
      </c>
      <c r="D96" s="46" t="s">
        <v>666</v>
      </c>
      <c r="E96" s="15" t="s">
        <v>667</v>
      </c>
      <c r="F96" s="15">
        <v>8</v>
      </c>
      <c r="G96" s="15"/>
    </row>
    <row r="97" spans="1:7" hidden="1">
      <c r="A97" s="15">
        <v>87</v>
      </c>
      <c r="B97" s="15" t="s">
        <v>303</v>
      </c>
      <c r="C97" s="15" t="s">
        <v>302</v>
      </c>
      <c r="D97" s="46" t="s">
        <v>668</v>
      </c>
      <c r="E97" s="15" t="s">
        <v>669</v>
      </c>
      <c r="F97" s="15">
        <v>9</v>
      </c>
      <c r="G97" s="15"/>
    </row>
    <row r="98" spans="1:7" hidden="1">
      <c r="A98" s="15">
        <v>88</v>
      </c>
      <c r="B98" s="15" t="s">
        <v>303</v>
      </c>
      <c r="C98" s="15" t="s">
        <v>302</v>
      </c>
      <c r="D98" s="46" t="s">
        <v>670</v>
      </c>
      <c r="E98" s="15" t="s">
        <v>671</v>
      </c>
      <c r="F98" s="15">
        <v>10</v>
      </c>
      <c r="G98" s="15"/>
    </row>
    <row r="99" spans="1:7" hidden="1">
      <c r="A99" s="15">
        <v>89</v>
      </c>
      <c r="B99" s="15" t="s">
        <v>303</v>
      </c>
      <c r="C99" s="15" t="s">
        <v>302</v>
      </c>
      <c r="D99" s="46" t="s">
        <v>672</v>
      </c>
      <c r="E99" s="15" t="s">
        <v>673</v>
      </c>
      <c r="F99" s="15">
        <v>11</v>
      </c>
      <c r="G99" s="15"/>
    </row>
    <row r="100" spans="1:7" hidden="1">
      <c r="A100" s="15">
        <v>90</v>
      </c>
      <c r="B100" s="15" t="s">
        <v>303</v>
      </c>
      <c r="C100" s="15" t="s">
        <v>302</v>
      </c>
      <c r="D100" s="46" t="s">
        <v>674</v>
      </c>
      <c r="E100" s="15" t="s">
        <v>675</v>
      </c>
      <c r="F100" s="15">
        <v>12</v>
      </c>
      <c r="G100" s="15"/>
    </row>
    <row r="101" spans="1:7" hidden="1">
      <c r="A101" s="15">
        <v>91</v>
      </c>
      <c r="B101" s="15" t="s">
        <v>303</v>
      </c>
      <c r="C101" s="15" t="s">
        <v>302</v>
      </c>
      <c r="D101" s="46" t="s">
        <v>676</v>
      </c>
      <c r="E101" s="15" t="s">
        <v>677</v>
      </c>
      <c r="F101" s="15">
        <v>13</v>
      </c>
      <c r="G101" s="15"/>
    </row>
    <row r="102" spans="1:7" hidden="1">
      <c r="A102" s="15">
        <v>92</v>
      </c>
      <c r="B102" s="15" t="s">
        <v>303</v>
      </c>
      <c r="C102" s="15" t="s">
        <v>302</v>
      </c>
      <c r="D102" s="46" t="s">
        <v>678</v>
      </c>
      <c r="E102" s="15" t="s">
        <v>679</v>
      </c>
      <c r="F102" s="15">
        <v>14</v>
      </c>
      <c r="G102" s="15"/>
    </row>
    <row r="103" spans="1:7" hidden="1">
      <c r="A103" s="15">
        <v>93</v>
      </c>
      <c r="B103" s="15" t="s">
        <v>303</v>
      </c>
      <c r="C103" s="15" t="s">
        <v>302</v>
      </c>
      <c r="D103" s="46" t="s">
        <v>680</v>
      </c>
      <c r="E103" s="15" t="s">
        <v>681</v>
      </c>
      <c r="F103" s="15">
        <v>15</v>
      </c>
      <c r="G103" s="15"/>
    </row>
    <row r="104" spans="1:7" hidden="1">
      <c r="A104" s="15">
        <v>94</v>
      </c>
      <c r="B104" s="15" t="s">
        <v>303</v>
      </c>
      <c r="C104" s="15" t="s">
        <v>302</v>
      </c>
      <c r="D104" s="46" t="s">
        <v>682</v>
      </c>
      <c r="E104" s="15" t="s">
        <v>683</v>
      </c>
      <c r="F104" s="15">
        <v>16</v>
      </c>
      <c r="G104" s="15"/>
    </row>
    <row r="105" spans="1:7" hidden="1">
      <c r="A105" s="15">
        <v>95</v>
      </c>
      <c r="B105" s="15" t="s">
        <v>303</v>
      </c>
      <c r="C105" s="15" t="s">
        <v>302</v>
      </c>
      <c r="D105" s="46" t="s">
        <v>684</v>
      </c>
      <c r="E105" s="15" t="s">
        <v>685</v>
      </c>
      <c r="F105" s="15">
        <v>17</v>
      </c>
      <c r="G105" s="15"/>
    </row>
    <row r="106" spans="1:7" hidden="1">
      <c r="A106" s="15">
        <v>96</v>
      </c>
      <c r="B106" s="15" t="s">
        <v>303</v>
      </c>
      <c r="C106" s="15" t="s">
        <v>302</v>
      </c>
      <c r="D106" s="46" t="s">
        <v>686</v>
      </c>
      <c r="E106" s="15" t="s">
        <v>687</v>
      </c>
      <c r="F106" s="15">
        <v>18</v>
      </c>
      <c r="G106" s="15"/>
    </row>
    <row r="107" spans="1:7" hidden="1">
      <c r="A107" s="15">
        <v>97</v>
      </c>
      <c r="B107" s="15" t="s">
        <v>303</v>
      </c>
      <c r="C107" s="15" t="s">
        <v>302</v>
      </c>
      <c r="D107" s="46" t="s">
        <v>688</v>
      </c>
      <c r="E107" s="15" t="s">
        <v>689</v>
      </c>
      <c r="F107" s="15">
        <v>19</v>
      </c>
      <c r="G107" s="15"/>
    </row>
    <row r="108" spans="1:7" hidden="1">
      <c r="A108" s="15">
        <v>98</v>
      </c>
      <c r="B108" s="15" t="s">
        <v>303</v>
      </c>
      <c r="C108" s="15" t="s">
        <v>302</v>
      </c>
      <c r="D108" s="46" t="s">
        <v>690</v>
      </c>
      <c r="E108" s="15" t="s">
        <v>691</v>
      </c>
      <c r="F108" s="15">
        <v>20</v>
      </c>
      <c r="G108" s="15"/>
    </row>
    <row r="109" spans="1:7" hidden="1">
      <c r="A109" s="15">
        <v>99</v>
      </c>
      <c r="B109" s="15" t="s">
        <v>303</v>
      </c>
      <c r="C109" s="15" t="s">
        <v>302</v>
      </c>
      <c r="D109" s="46" t="s">
        <v>692</v>
      </c>
      <c r="E109" s="15" t="s">
        <v>693</v>
      </c>
      <c r="F109" s="15">
        <v>21</v>
      </c>
      <c r="G109" s="15"/>
    </row>
    <row r="110" spans="1:7" hidden="1">
      <c r="A110" s="15">
        <v>100</v>
      </c>
      <c r="B110" s="15" t="s">
        <v>303</v>
      </c>
      <c r="C110" s="15" t="s">
        <v>302</v>
      </c>
      <c r="D110" s="46" t="s">
        <v>694</v>
      </c>
      <c r="E110" s="15" t="s">
        <v>695</v>
      </c>
      <c r="F110" s="15">
        <v>22</v>
      </c>
      <c r="G110" s="15"/>
    </row>
    <row r="111" spans="1:7" hidden="1">
      <c r="A111" s="15">
        <v>101</v>
      </c>
      <c r="B111" s="15" t="s">
        <v>303</v>
      </c>
      <c r="C111" s="15" t="s">
        <v>302</v>
      </c>
      <c r="D111" s="46" t="s">
        <v>696</v>
      </c>
      <c r="E111" s="15" t="s">
        <v>697</v>
      </c>
      <c r="F111" s="15">
        <v>23</v>
      </c>
      <c r="G111" s="15"/>
    </row>
    <row r="112" spans="1:7" hidden="1">
      <c r="A112" s="15">
        <v>102</v>
      </c>
      <c r="B112" s="15" t="s">
        <v>303</v>
      </c>
      <c r="C112" s="15" t="s">
        <v>302</v>
      </c>
      <c r="D112" s="46" t="s">
        <v>698</v>
      </c>
      <c r="E112" s="15" t="s">
        <v>699</v>
      </c>
      <c r="F112" s="15">
        <v>24</v>
      </c>
      <c r="G112" s="15"/>
    </row>
    <row r="113" spans="1:7" hidden="1">
      <c r="A113" s="15">
        <v>103</v>
      </c>
      <c r="B113" s="15" t="s">
        <v>303</v>
      </c>
      <c r="C113" s="15" t="s">
        <v>302</v>
      </c>
      <c r="D113" s="46" t="s">
        <v>700</v>
      </c>
      <c r="E113" s="15" t="s">
        <v>701</v>
      </c>
      <c r="F113" s="15">
        <v>25</v>
      </c>
      <c r="G113" s="15"/>
    </row>
    <row r="114" spans="1:7" hidden="1">
      <c r="A114" s="15">
        <v>104</v>
      </c>
      <c r="B114" s="15" t="s">
        <v>303</v>
      </c>
      <c r="C114" s="15" t="s">
        <v>302</v>
      </c>
      <c r="D114" s="46" t="s">
        <v>702</v>
      </c>
      <c r="E114" s="15" t="s">
        <v>703</v>
      </c>
      <c r="F114" s="15">
        <v>26</v>
      </c>
      <c r="G114" s="15"/>
    </row>
    <row r="115" spans="1:7" hidden="1">
      <c r="A115" s="15">
        <v>105</v>
      </c>
      <c r="B115" s="15" t="s">
        <v>303</v>
      </c>
      <c r="C115" s="15" t="s">
        <v>302</v>
      </c>
      <c r="D115" s="46" t="s">
        <v>704</v>
      </c>
      <c r="E115" s="15" t="s">
        <v>705</v>
      </c>
      <c r="F115" s="15">
        <v>27</v>
      </c>
      <c r="G115" s="15"/>
    </row>
    <row r="116" spans="1:7" hidden="1">
      <c r="A116" s="15">
        <v>106</v>
      </c>
      <c r="B116" s="15" t="s">
        <v>303</v>
      </c>
      <c r="C116" s="15" t="s">
        <v>302</v>
      </c>
      <c r="D116" s="46" t="s">
        <v>706</v>
      </c>
      <c r="E116" s="15" t="s">
        <v>707</v>
      </c>
      <c r="F116" s="15">
        <v>28</v>
      </c>
      <c r="G116" s="15"/>
    </row>
    <row r="117" spans="1:7" hidden="1">
      <c r="A117" s="15">
        <v>107</v>
      </c>
      <c r="B117" s="15" t="s">
        <v>303</v>
      </c>
      <c r="C117" s="15" t="s">
        <v>302</v>
      </c>
      <c r="D117" s="46" t="s">
        <v>708</v>
      </c>
      <c r="E117" s="15" t="s">
        <v>709</v>
      </c>
      <c r="F117" s="15">
        <v>29</v>
      </c>
      <c r="G117" s="15"/>
    </row>
    <row r="118" spans="1:7" hidden="1">
      <c r="A118" s="15">
        <v>108</v>
      </c>
      <c r="B118" s="15" t="s">
        <v>303</v>
      </c>
      <c r="C118" s="15" t="s">
        <v>302</v>
      </c>
      <c r="D118" s="15" t="s">
        <v>710</v>
      </c>
      <c r="E118" s="15" t="s">
        <v>711</v>
      </c>
      <c r="F118" s="15">
        <v>30</v>
      </c>
      <c r="G118" s="15"/>
    </row>
    <row r="119" spans="1:7" hidden="1">
      <c r="A119" s="15">
        <v>109</v>
      </c>
      <c r="B119" s="15" t="s">
        <v>303</v>
      </c>
      <c r="C119" s="15" t="s">
        <v>302</v>
      </c>
      <c r="D119" s="15" t="s">
        <v>712</v>
      </c>
      <c r="E119" s="15" t="s">
        <v>713</v>
      </c>
      <c r="F119" s="15">
        <v>31</v>
      </c>
      <c r="G119" s="15"/>
    </row>
    <row r="120" spans="1:7" hidden="1">
      <c r="A120" s="15">
        <v>110</v>
      </c>
      <c r="B120" s="15" t="s">
        <v>303</v>
      </c>
      <c r="C120" s="15" t="s">
        <v>302</v>
      </c>
      <c r="D120" s="15" t="s">
        <v>714</v>
      </c>
      <c r="E120" s="15" t="s">
        <v>715</v>
      </c>
      <c r="F120" s="15">
        <v>32</v>
      </c>
      <c r="G120" s="15"/>
    </row>
    <row r="121" spans="1:7" hidden="1">
      <c r="A121" s="15">
        <v>111</v>
      </c>
      <c r="B121" s="15" t="s">
        <v>303</v>
      </c>
      <c r="C121" s="15" t="s">
        <v>302</v>
      </c>
      <c r="D121" s="15" t="s">
        <v>716</v>
      </c>
      <c r="E121" s="15" t="s">
        <v>717</v>
      </c>
      <c r="F121" s="15">
        <v>33</v>
      </c>
      <c r="G121" s="15"/>
    </row>
    <row r="122" spans="1:7" hidden="1">
      <c r="A122" s="15">
        <v>112</v>
      </c>
      <c r="B122" s="15" t="s">
        <v>303</v>
      </c>
      <c r="C122" s="15" t="s">
        <v>302</v>
      </c>
      <c r="D122" s="15" t="s">
        <v>718</v>
      </c>
      <c r="E122" s="15" t="s">
        <v>719</v>
      </c>
      <c r="F122" s="15">
        <v>34</v>
      </c>
      <c r="G122" s="15"/>
    </row>
    <row r="123" spans="1:7" hidden="1">
      <c r="A123" s="15">
        <v>113</v>
      </c>
      <c r="B123" s="15" t="s">
        <v>303</v>
      </c>
      <c r="C123" s="15" t="s">
        <v>302</v>
      </c>
      <c r="D123" s="15" t="s">
        <v>720</v>
      </c>
      <c r="E123" s="15" t="s">
        <v>721</v>
      </c>
      <c r="F123" s="15">
        <v>35</v>
      </c>
      <c r="G123" s="15"/>
    </row>
    <row r="124" spans="1:7" hidden="1">
      <c r="A124" s="15">
        <v>114</v>
      </c>
      <c r="B124" s="15" t="s">
        <v>303</v>
      </c>
      <c r="C124" s="15" t="s">
        <v>302</v>
      </c>
      <c r="D124" s="46" t="s">
        <v>722</v>
      </c>
      <c r="E124" s="15" t="s">
        <v>723</v>
      </c>
      <c r="F124" s="15">
        <v>36</v>
      </c>
      <c r="G124" s="15"/>
    </row>
    <row r="125" spans="1:7" hidden="1">
      <c r="A125" s="15">
        <v>115</v>
      </c>
      <c r="B125" s="15" t="s">
        <v>303</v>
      </c>
      <c r="C125" s="15" t="s">
        <v>302</v>
      </c>
      <c r="D125" s="46" t="s">
        <v>724</v>
      </c>
      <c r="E125" s="15" t="s">
        <v>725</v>
      </c>
      <c r="F125" s="15">
        <v>37</v>
      </c>
      <c r="G125" s="15"/>
    </row>
    <row r="126" spans="1:7" hidden="1">
      <c r="A126" s="15">
        <v>116</v>
      </c>
      <c r="B126" s="15" t="s">
        <v>303</v>
      </c>
      <c r="C126" s="15" t="s">
        <v>302</v>
      </c>
      <c r="D126" s="46" t="s">
        <v>726</v>
      </c>
      <c r="E126" s="15" t="s">
        <v>727</v>
      </c>
      <c r="F126" s="15">
        <v>38</v>
      </c>
      <c r="G126" s="15"/>
    </row>
    <row r="127" spans="1:7" hidden="1">
      <c r="A127" s="15">
        <v>117</v>
      </c>
      <c r="B127" s="15" t="s">
        <v>303</v>
      </c>
      <c r="C127" s="15" t="s">
        <v>302</v>
      </c>
      <c r="D127" s="46" t="s">
        <v>728</v>
      </c>
      <c r="E127" s="15" t="s">
        <v>729</v>
      </c>
      <c r="F127" s="15">
        <v>39</v>
      </c>
      <c r="G127" s="15"/>
    </row>
    <row r="128" spans="1:7" hidden="1">
      <c r="A128" s="15">
        <v>118</v>
      </c>
      <c r="B128" s="15" t="s">
        <v>303</v>
      </c>
      <c r="C128" s="15" t="s">
        <v>302</v>
      </c>
      <c r="D128" s="46" t="s">
        <v>730</v>
      </c>
      <c r="E128" s="15" t="s">
        <v>731</v>
      </c>
      <c r="F128" s="15">
        <v>40</v>
      </c>
      <c r="G128" s="15"/>
    </row>
    <row r="129" spans="1:7" hidden="1">
      <c r="A129" s="15">
        <v>119</v>
      </c>
      <c r="B129" s="15" t="s">
        <v>303</v>
      </c>
      <c r="C129" s="15" t="s">
        <v>302</v>
      </c>
      <c r="D129" s="46" t="s">
        <v>732</v>
      </c>
      <c r="E129" s="15" t="s">
        <v>733</v>
      </c>
      <c r="F129" s="15">
        <v>41</v>
      </c>
      <c r="G129" s="15"/>
    </row>
    <row r="130" spans="1:7" hidden="1">
      <c r="A130" s="15">
        <v>120</v>
      </c>
      <c r="B130" s="15" t="s">
        <v>303</v>
      </c>
      <c r="C130" s="15" t="s">
        <v>302</v>
      </c>
      <c r="D130" s="46" t="s">
        <v>734</v>
      </c>
      <c r="E130" s="15" t="s">
        <v>735</v>
      </c>
      <c r="F130" s="15">
        <v>42</v>
      </c>
      <c r="G130" s="15"/>
    </row>
    <row r="131" spans="1:7" hidden="1">
      <c r="A131" s="15">
        <v>121</v>
      </c>
      <c r="B131" s="15" t="s">
        <v>303</v>
      </c>
      <c r="C131" s="15" t="s">
        <v>302</v>
      </c>
      <c r="D131" s="46" t="s">
        <v>736</v>
      </c>
      <c r="E131" s="15" t="s">
        <v>737</v>
      </c>
      <c r="F131" s="15">
        <v>43</v>
      </c>
      <c r="G131" s="15"/>
    </row>
    <row r="132" spans="1:7" hidden="1">
      <c r="A132" s="15">
        <v>122</v>
      </c>
      <c r="B132" s="15" t="s">
        <v>303</v>
      </c>
      <c r="C132" s="15" t="s">
        <v>302</v>
      </c>
      <c r="D132" s="46" t="s">
        <v>738</v>
      </c>
      <c r="E132" s="15" t="s">
        <v>739</v>
      </c>
      <c r="F132" s="15">
        <v>44</v>
      </c>
      <c r="G132" s="15"/>
    </row>
    <row r="133" spans="1:7" hidden="1">
      <c r="A133" s="15">
        <v>123</v>
      </c>
      <c r="B133" s="15" t="s">
        <v>303</v>
      </c>
      <c r="C133" s="15" t="s">
        <v>302</v>
      </c>
      <c r="D133" s="15" t="s">
        <v>740</v>
      </c>
      <c r="E133" s="15" t="s">
        <v>741</v>
      </c>
      <c r="F133" s="15">
        <v>45</v>
      </c>
      <c r="G133" s="15"/>
    </row>
    <row r="134" spans="1:7" hidden="1">
      <c r="A134" s="15">
        <v>124</v>
      </c>
      <c r="B134" s="15" t="s">
        <v>303</v>
      </c>
      <c r="C134" s="15" t="s">
        <v>302</v>
      </c>
      <c r="D134" s="46" t="s">
        <v>742</v>
      </c>
      <c r="E134" s="15" t="s">
        <v>743</v>
      </c>
      <c r="F134" s="15">
        <v>46</v>
      </c>
      <c r="G134" s="15"/>
    </row>
    <row r="135" spans="1:7" hidden="1">
      <c r="A135" s="15">
        <v>125</v>
      </c>
      <c r="B135" s="15" t="s">
        <v>303</v>
      </c>
      <c r="C135" s="15" t="s">
        <v>302</v>
      </c>
      <c r="D135" s="46" t="s">
        <v>744</v>
      </c>
      <c r="E135" s="15" t="s">
        <v>745</v>
      </c>
      <c r="F135" s="15">
        <v>47</v>
      </c>
      <c r="G135" s="15"/>
    </row>
    <row r="136" spans="1:7" hidden="1">
      <c r="A136" s="15">
        <v>126</v>
      </c>
      <c r="B136" s="15" t="s">
        <v>303</v>
      </c>
      <c r="C136" s="15" t="s">
        <v>302</v>
      </c>
      <c r="D136" s="15" t="s">
        <v>746</v>
      </c>
      <c r="E136" s="15" t="s">
        <v>747</v>
      </c>
      <c r="F136" s="15">
        <v>48</v>
      </c>
      <c r="G136" s="15"/>
    </row>
    <row r="137" spans="1:7" hidden="1">
      <c r="A137" s="15">
        <v>127</v>
      </c>
      <c r="B137" s="15" t="s">
        <v>303</v>
      </c>
      <c r="C137" s="15" t="s">
        <v>302</v>
      </c>
      <c r="D137" s="46" t="s">
        <v>748</v>
      </c>
      <c r="E137" s="15" t="s">
        <v>749</v>
      </c>
      <c r="F137" s="15">
        <v>49</v>
      </c>
      <c r="G137" s="15"/>
    </row>
    <row r="138" spans="1:7" hidden="1">
      <c r="A138" s="15">
        <v>128</v>
      </c>
      <c r="B138" s="15" t="s">
        <v>303</v>
      </c>
      <c r="C138" s="15" t="s">
        <v>302</v>
      </c>
      <c r="D138" s="46" t="s">
        <v>750</v>
      </c>
      <c r="E138" s="15" t="s">
        <v>751</v>
      </c>
      <c r="F138" s="15">
        <v>50</v>
      </c>
      <c r="G138" s="15"/>
    </row>
    <row r="139" spans="1:7" hidden="1">
      <c r="A139" s="15">
        <v>129</v>
      </c>
      <c r="B139" s="15" t="s">
        <v>303</v>
      </c>
      <c r="C139" s="15" t="s">
        <v>302</v>
      </c>
      <c r="D139" s="15" t="s">
        <v>752</v>
      </c>
      <c r="E139" s="15" t="s">
        <v>753</v>
      </c>
      <c r="F139" s="15">
        <v>51</v>
      </c>
      <c r="G139" s="15"/>
    </row>
    <row r="140" spans="1:7" hidden="1">
      <c r="A140" s="15">
        <v>130</v>
      </c>
      <c r="B140" s="15" t="s">
        <v>303</v>
      </c>
      <c r="C140" s="15" t="s">
        <v>302</v>
      </c>
      <c r="D140" s="46" t="s">
        <v>754</v>
      </c>
      <c r="E140" s="15" t="s">
        <v>755</v>
      </c>
      <c r="F140" s="15">
        <v>52</v>
      </c>
      <c r="G140" s="15"/>
    </row>
    <row r="141" spans="1:7" hidden="1">
      <c r="A141" s="15">
        <v>131</v>
      </c>
      <c r="B141" s="15" t="s">
        <v>303</v>
      </c>
      <c r="C141" s="15" t="s">
        <v>302</v>
      </c>
      <c r="D141" s="46" t="s">
        <v>756</v>
      </c>
      <c r="E141" s="15" t="s">
        <v>757</v>
      </c>
      <c r="F141" s="15">
        <v>53</v>
      </c>
      <c r="G141" s="15"/>
    </row>
    <row r="142" spans="1:7" hidden="1">
      <c r="A142" s="15">
        <v>132</v>
      </c>
      <c r="B142" s="15" t="s">
        <v>303</v>
      </c>
      <c r="C142" s="15" t="s">
        <v>302</v>
      </c>
      <c r="D142" s="15" t="s">
        <v>758</v>
      </c>
      <c r="E142" s="15" t="s">
        <v>759</v>
      </c>
      <c r="F142" s="15">
        <v>54</v>
      </c>
      <c r="G142" s="15"/>
    </row>
    <row r="143" spans="1:7" hidden="1">
      <c r="A143" s="15">
        <v>133</v>
      </c>
      <c r="B143" s="15" t="s">
        <v>303</v>
      </c>
      <c r="C143" s="15" t="s">
        <v>302</v>
      </c>
      <c r="D143" s="46" t="s">
        <v>760</v>
      </c>
      <c r="E143" s="15" t="s">
        <v>761</v>
      </c>
      <c r="F143" s="15">
        <v>55</v>
      </c>
      <c r="G143" s="15"/>
    </row>
    <row r="144" spans="1:7" hidden="1">
      <c r="A144" s="15">
        <v>134</v>
      </c>
      <c r="B144" s="15" t="s">
        <v>303</v>
      </c>
      <c r="C144" s="15" t="s">
        <v>302</v>
      </c>
      <c r="D144" s="15" t="s">
        <v>762</v>
      </c>
      <c r="E144" s="15" t="s">
        <v>763</v>
      </c>
      <c r="F144" s="15">
        <v>56</v>
      </c>
      <c r="G144" s="15"/>
    </row>
    <row r="145" spans="1:7" hidden="1">
      <c r="A145" s="15">
        <v>135</v>
      </c>
      <c r="B145" s="15" t="s">
        <v>303</v>
      </c>
      <c r="C145" s="15" t="s">
        <v>302</v>
      </c>
      <c r="D145" s="15" t="s">
        <v>764</v>
      </c>
      <c r="E145" s="15" t="s">
        <v>765</v>
      </c>
      <c r="F145" s="15">
        <v>57</v>
      </c>
      <c r="G145" s="15"/>
    </row>
    <row r="146" spans="1:7" hidden="1">
      <c r="A146" s="15">
        <v>136</v>
      </c>
      <c r="B146" s="15" t="s">
        <v>303</v>
      </c>
      <c r="C146" s="15" t="s">
        <v>302</v>
      </c>
      <c r="D146" s="15" t="s">
        <v>766</v>
      </c>
      <c r="E146" s="15" t="s">
        <v>767</v>
      </c>
      <c r="F146" s="15">
        <v>58</v>
      </c>
      <c r="G146" s="15"/>
    </row>
    <row r="147" spans="1:7" hidden="1">
      <c r="A147" s="15">
        <v>137</v>
      </c>
      <c r="B147" s="15" t="s">
        <v>303</v>
      </c>
      <c r="C147" s="15" t="s">
        <v>302</v>
      </c>
      <c r="D147" s="15" t="s">
        <v>768</v>
      </c>
      <c r="E147" s="15" t="s">
        <v>769</v>
      </c>
      <c r="F147" s="15">
        <v>59</v>
      </c>
      <c r="G147" s="15"/>
    </row>
    <row r="148" spans="1:7" hidden="1">
      <c r="A148" s="15">
        <v>138</v>
      </c>
      <c r="B148" s="15" t="s">
        <v>303</v>
      </c>
      <c r="C148" s="15" t="s">
        <v>302</v>
      </c>
      <c r="D148" s="15" t="s">
        <v>770</v>
      </c>
      <c r="E148" s="15" t="s">
        <v>771</v>
      </c>
      <c r="F148" s="15">
        <v>60</v>
      </c>
      <c r="G148" s="15"/>
    </row>
    <row r="149" spans="1:7" hidden="1">
      <c r="A149" s="15">
        <v>139</v>
      </c>
      <c r="B149" s="15" t="s">
        <v>303</v>
      </c>
      <c r="C149" s="15" t="s">
        <v>302</v>
      </c>
      <c r="D149" s="15" t="s">
        <v>772</v>
      </c>
      <c r="E149" s="15" t="s">
        <v>773</v>
      </c>
      <c r="F149" s="15">
        <v>61</v>
      </c>
      <c r="G149" s="15"/>
    </row>
    <row r="150" spans="1:7" hidden="1">
      <c r="A150" s="15">
        <v>140</v>
      </c>
      <c r="B150" s="15" t="s">
        <v>303</v>
      </c>
      <c r="C150" s="15" t="s">
        <v>302</v>
      </c>
      <c r="D150" s="15" t="s">
        <v>774</v>
      </c>
      <c r="E150" s="15" t="s">
        <v>775</v>
      </c>
      <c r="F150" s="15">
        <v>62</v>
      </c>
      <c r="G150" s="15"/>
    </row>
    <row r="151" spans="1:7" hidden="1">
      <c r="A151" s="15">
        <v>141</v>
      </c>
      <c r="B151" s="15" t="s">
        <v>93</v>
      </c>
      <c r="C151" s="15" t="s">
        <v>302</v>
      </c>
      <c r="D151" s="15" t="s">
        <v>776</v>
      </c>
      <c r="E151" s="15" t="s">
        <v>777</v>
      </c>
      <c r="F151" s="15">
        <v>63</v>
      </c>
      <c r="G151" s="15"/>
    </row>
    <row r="152" spans="1:7" hidden="1">
      <c r="A152" s="15">
        <v>142</v>
      </c>
      <c r="B152" s="15" t="s">
        <v>303</v>
      </c>
      <c r="C152" s="15" t="s">
        <v>302</v>
      </c>
      <c r="D152" s="15" t="s">
        <v>778</v>
      </c>
      <c r="E152" s="15" t="s">
        <v>779</v>
      </c>
      <c r="F152" s="15">
        <v>64</v>
      </c>
      <c r="G152" s="15"/>
    </row>
    <row r="153" spans="1:7" hidden="1">
      <c r="A153" s="15">
        <v>143</v>
      </c>
      <c r="B153" s="15" t="s">
        <v>303</v>
      </c>
      <c r="C153" s="15" t="s">
        <v>302</v>
      </c>
      <c r="D153" s="15" t="s">
        <v>780</v>
      </c>
      <c r="E153" s="15" t="s">
        <v>781</v>
      </c>
      <c r="F153" s="15">
        <v>65</v>
      </c>
      <c r="G153" s="15"/>
    </row>
    <row r="154" spans="1:7" hidden="1">
      <c r="A154" s="15">
        <v>144</v>
      </c>
      <c r="B154" s="15" t="s">
        <v>303</v>
      </c>
      <c r="C154" s="15" t="s">
        <v>302</v>
      </c>
      <c r="D154" s="15" t="s">
        <v>782</v>
      </c>
      <c r="E154" s="15" t="s">
        <v>783</v>
      </c>
      <c r="F154" s="15">
        <v>66</v>
      </c>
      <c r="G154" s="15"/>
    </row>
    <row r="155" spans="1:7" hidden="1">
      <c r="A155" s="15">
        <v>145</v>
      </c>
      <c r="B155" s="15" t="s">
        <v>303</v>
      </c>
      <c r="C155" s="15" t="s">
        <v>302</v>
      </c>
      <c r="D155" s="15" t="s">
        <v>784</v>
      </c>
      <c r="E155" s="15" t="s">
        <v>785</v>
      </c>
      <c r="F155" s="15">
        <v>67</v>
      </c>
      <c r="G155" s="15"/>
    </row>
    <row r="156" spans="1:7" hidden="1">
      <c r="A156" s="15">
        <v>146</v>
      </c>
      <c r="B156" s="15" t="s">
        <v>303</v>
      </c>
      <c r="C156" s="15" t="s">
        <v>302</v>
      </c>
      <c r="D156" s="15" t="s">
        <v>786</v>
      </c>
      <c r="E156" s="15" t="s">
        <v>787</v>
      </c>
      <c r="F156" s="15">
        <v>68</v>
      </c>
      <c r="G156" s="15"/>
    </row>
    <row r="157" spans="1:7" hidden="1">
      <c r="A157" s="15">
        <v>147</v>
      </c>
      <c r="B157" s="15" t="s">
        <v>303</v>
      </c>
      <c r="C157" s="15" t="s">
        <v>302</v>
      </c>
      <c r="D157" s="15" t="s">
        <v>788</v>
      </c>
      <c r="E157" s="15" t="s">
        <v>789</v>
      </c>
      <c r="F157" s="15">
        <v>69</v>
      </c>
      <c r="G157" s="15"/>
    </row>
    <row r="158" spans="1:7" hidden="1">
      <c r="A158" s="15">
        <v>148</v>
      </c>
      <c r="B158" s="15" t="s">
        <v>303</v>
      </c>
      <c r="C158" s="15" t="s">
        <v>302</v>
      </c>
      <c r="D158" s="15" t="s">
        <v>790</v>
      </c>
      <c r="E158" s="15" t="s">
        <v>791</v>
      </c>
      <c r="F158" s="15">
        <v>70</v>
      </c>
      <c r="G158" s="15"/>
    </row>
    <row r="159" spans="1:7" hidden="1">
      <c r="A159" s="15">
        <v>149</v>
      </c>
      <c r="B159" s="15" t="s">
        <v>303</v>
      </c>
      <c r="C159" s="15" t="s">
        <v>302</v>
      </c>
      <c r="D159" s="46" t="s">
        <v>792</v>
      </c>
      <c r="E159" s="15" t="s">
        <v>793</v>
      </c>
      <c r="F159" s="15">
        <v>71</v>
      </c>
      <c r="G159" s="46"/>
    </row>
    <row r="160" spans="1:7" hidden="1">
      <c r="A160" s="15">
        <v>150</v>
      </c>
      <c r="B160" s="15" t="s">
        <v>303</v>
      </c>
      <c r="C160" s="15" t="s">
        <v>302</v>
      </c>
      <c r="D160" s="46" t="s">
        <v>794</v>
      </c>
      <c r="E160" s="15" t="s">
        <v>795</v>
      </c>
      <c r="F160" s="15">
        <v>72</v>
      </c>
      <c r="G160" s="46"/>
    </row>
    <row r="161" spans="1:7" hidden="1">
      <c r="A161" s="15">
        <v>151</v>
      </c>
      <c r="B161" s="15" t="s">
        <v>303</v>
      </c>
      <c r="C161" s="15" t="s">
        <v>302</v>
      </c>
      <c r="D161" s="46" t="s">
        <v>796</v>
      </c>
      <c r="E161" s="15" t="s">
        <v>797</v>
      </c>
      <c r="F161" s="15">
        <v>73</v>
      </c>
      <c r="G161" s="46"/>
    </row>
    <row r="162" spans="1:7" hidden="1">
      <c r="A162" s="15">
        <v>152</v>
      </c>
      <c r="B162" s="15" t="s">
        <v>303</v>
      </c>
      <c r="C162" s="15" t="s">
        <v>302</v>
      </c>
      <c r="D162" s="46" t="s">
        <v>798</v>
      </c>
      <c r="E162" s="15" t="s">
        <v>799</v>
      </c>
      <c r="F162" s="15">
        <v>74</v>
      </c>
      <c r="G162" s="46"/>
    </row>
    <row r="163" spans="1:7" hidden="1">
      <c r="A163" s="15">
        <v>153</v>
      </c>
      <c r="B163" s="15" t="s">
        <v>303</v>
      </c>
      <c r="C163" s="15" t="s">
        <v>302</v>
      </c>
      <c r="D163" s="46" t="s">
        <v>800</v>
      </c>
      <c r="E163" s="15" t="s">
        <v>801</v>
      </c>
      <c r="F163" s="15">
        <v>75</v>
      </c>
      <c r="G163" s="46"/>
    </row>
    <row r="164" spans="1:7" hidden="1">
      <c r="A164" s="15">
        <v>154</v>
      </c>
      <c r="B164" s="15" t="s">
        <v>303</v>
      </c>
      <c r="C164" s="15" t="s">
        <v>302</v>
      </c>
      <c r="D164" s="46" t="s">
        <v>802</v>
      </c>
      <c r="E164" s="15" t="s">
        <v>803</v>
      </c>
      <c r="F164" s="15">
        <v>76</v>
      </c>
      <c r="G164" s="46"/>
    </row>
    <row r="165" spans="1:7" hidden="1">
      <c r="A165" s="15">
        <v>155</v>
      </c>
      <c r="B165" s="15" t="s">
        <v>303</v>
      </c>
      <c r="C165" s="15" t="s">
        <v>302</v>
      </c>
      <c r="D165" s="15" t="s">
        <v>804</v>
      </c>
      <c r="E165" s="15" t="s">
        <v>805</v>
      </c>
      <c r="F165" s="15">
        <v>77</v>
      </c>
      <c r="G165" s="15"/>
    </row>
    <row r="166" spans="1:7" hidden="1">
      <c r="A166" s="15">
        <v>156</v>
      </c>
      <c r="B166" s="15" t="s">
        <v>303</v>
      </c>
      <c r="C166" s="15" t="s">
        <v>302</v>
      </c>
      <c r="D166" s="15" t="s">
        <v>806</v>
      </c>
      <c r="E166" s="15" t="s">
        <v>807</v>
      </c>
      <c r="F166" s="15">
        <v>78</v>
      </c>
      <c r="G166" s="15"/>
    </row>
    <row r="167" spans="1:7" hidden="1">
      <c r="A167" s="15">
        <v>157</v>
      </c>
      <c r="B167" s="15" t="s">
        <v>303</v>
      </c>
      <c r="C167" s="15" t="s">
        <v>302</v>
      </c>
      <c r="D167" s="15" t="s">
        <v>808</v>
      </c>
      <c r="E167" s="15" t="s">
        <v>809</v>
      </c>
      <c r="F167" s="15">
        <v>79</v>
      </c>
      <c r="G167" s="15"/>
    </row>
    <row r="168" spans="1:7" hidden="1">
      <c r="A168" s="15">
        <v>158</v>
      </c>
      <c r="B168" s="15" t="s">
        <v>303</v>
      </c>
      <c r="C168" s="15" t="s">
        <v>302</v>
      </c>
      <c r="D168" s="15" t="s">
        <v>810</v>
      </c>
      <c r="E168" s="15" t="s">
        <v>811</v>
      </c>
      <c r="F168" s="15">
        <v>80</v>
      </c>
      <c r="G168" s="15"/>
    </row>
    <row r="169" spans="1:7" hidden="1">
      <c r="A169" s="15">
        <v>159</v>
      </c>
      <c r="B169" s="15" t="s">
        <v>303</v>
      </c>
      <c r="C169" s="15" t="s">
        <v>302</v>
      </c>
      <c r="D169" s="15" t="s">
        <v>812</v>
      </c>
      <c r="E169" s="15" t="s">
        <v>813</v>
      </c>
      <c r="F169" s="15">
        <v>81</v>
      </c>
      <c r="G169" s="15"/>
    </row>
    <row r="170" spans="1:7" hidden="1">
      <c r="A170" s="15">
        <v>160</v>
      </c>
      <c r="B170" s="15" t="s">
        <v>303</v>
      </c>
      <c r="C170" s="15" t="s">
        <v>302</v>
      </c>
      <c r="D170" s="15" t="s">
        <v>814</v>
      </c>
      <c r="E170" s="15" t="s">
        <v>815</v>
      </c>
      <c r="F170" s="15">
        <v>82</v>
      </c>
      <c r="G170" s="15"/>
    </row>
    <row r="171" spans="1:7" hidden="1">
      <c r="A171" s="15">
        <v>161</v>
      </c>
      <c r="B171" s="15" t="s">
        <v>303</v>
      </c>
      <c r="C171" s="15" t="s">
        <v>302</v>
      </c>
      <c r="D171" s="15" t="s">
        <v>816</v>
      </c>
      <c r="E171" s="15" t="s">
        <v>817</v>
      </c>
      <c r="F171" s="15">
        <v>83</v>
      </c>
      <c r="G171" s="15"/>
    </row>
    <row r="172" spans="1:7" hidden="1">
      <c r="A172" s="15">
        <v>162</v>
      </c>
      <c r="B172" s="15" t="s">
        <v>303</v>
      </c>
      <c r="C172" s="15" t="s">
        <v>302</v>
      </c>
      <c r="D172" s="15" t="s">
        <v>818</v>
      </c>
      <c r="E172" s="15" t="s">
        <v>819</v>
      </c>
      <c r="F172" s="15">
        <v>84</v>
      </c>
      <c r="G172" s="15"/>
    </row>
    <row r="173" spans="1:7" hidden="1">
      <c r="A173" s="15">
        <v>163</v>
      </c>
      <c r="B173" s="15" t="s">
        <v>303</v>
      </c>
      <c r="C173" s="15" t="s">
        <v>302</v>
      </c>
      <c r="D173" s="15" t="s">
        <v>820</v>
      </c>
      <c r="E173" s="15" t="s">
        <v>821</v>
      </c>
      <c r="F173" s="15">
        <v>85</v>
      </c>
      <c r="G173" s="15"/>
    </row>
    <row r="174" spans="1:7" hidden="1">
      <c r="A174" s="15">
        <v>164</v>
      </c>
      <c r="B174" s="15" t="s">
        <v>303</v>
      </c>
      <c r="C174" s="15" t="s">
        <v>302</v>
      </c>
      <c r="D174" s="15" t="s">
        <v>822</v>
      </c>
      <c r="E174" s="15" t="s">
        <v>823</v>
      </c>
      <c r="F174" s="15">
        <v>86</v>
      </c>
      <c r="G174" s="15"/>
    </row>
    <row r="175" spans="1:7" hidden="1">
      <c r="A175" s="15">
        <v>165</v>
      </c>
      <c r="B175" s="15" t="s">
        <v>303</v>
      </c>
      <c r="C175" s="15" t="s">
        <v>302</v>
      </c>
      <c r="D175" s="15" t="s">
        <v>824</v>
      </c>
      <c r="E175" s="15" t="s">
        <v>825</v>
      </c>
      <c r="F175" s="15">
        <v>87</v>
      </c>
      <c r="G175" s="15"/>
    </row>
    <row r="176" spans="1:7" hidden="1">
      <c r="A176" s="15">
        <v>166</v>
      </c>
      <c r="B176" s="15" t="s">
        <v>303</v>
      </c>
      <c r="C176" s="15" t="s">
        <v>302</v>
      </c>
      <c r="D176" s="15" t="s">
        <v>826</v>
      </c>
      <c r="E176" s="15" t="s">
        <v>827</v>
      </c>
      <c r="F176" s="15">
        <v>88</v>
      </c>
      <c r="G176" s="15"/>
    </row>
    <row r="177" spans="1:7" hidden="1">
      <c r="A177" s="15">
        <v>167</v>
      </c>
      <c r="B177" s="15" t="s">
        <v>303</v>
      </c>
      <c r="C177" s="15" t="s">
        <v>302</v>
      </c>
      <c r="D177" s="15" t="s">
        <v>828</v>
      </c>
      <c r="E177" s="15" t="s">
        <v>829</v>
      </c>
      <c r="F177" s="15">
        <v>89</v>
      </c>
      <c r="G177" s="15"/>
    </row>
    <row r="178" spans="1:7" hidden="1">
      <c r="A178" s="15">
        <v>168</v>
      </c>
      <c r="B178" s="15" t="s">
        <v>303</v>
      </c>
      <c r="C178" s="15" t="s">
        <v>302</v>
      </c>
      <c r="D178" s="15" t="s">
        <v>830</v>
      </c>
      <c r="E178" s="15" t="s">
        <v>831</v>
      </c>
      <c r="F178" s="15">
        <v>90</v>
      </c>
      <c r="G178" s="15"/>
    </row>
    <row r="179" spans="1:7" hidden="1">
      <c r="A179" s="15">
        <v>169</v>
      </c>
      <c r="B179" s="15" t="s">
        <v>309</v>
      </c>
      <c r="C179" s="15" t="s">
        <v>308</v>
      </c>
      <c r="D179" s="46" t="s">
        <v>213</v>
      </c>
      <c r="E179" s="15" t="s">
        <v>566</v>
      </c>
      <c r="F179" s="15">
        <v>1</v>
      </c>
      <c r="G179" s="15"/>
    </row>
    <row r="180" spans="1:7" hidden="1">
      <c r="A180" s="15">
        <v>170</v>
      </c>
      <c r="B180" s="15" t="s">
        <v>309</v>
      </c>
      <c r="C180" s="15" t="s">
        <v>308</v>
      </c>
      <c r="D180" s="46" t="s">
        <v>214</v>
      </c>
      <c r="E180" s="15" t="s">
        <v>567</v>
      </c>
      <c r="F180" s="15">
        <v>2</v>
      </c>
      <c r="G180" s="15"/>
    </row>
    <row r="181" spans="1:7" hidden="1">
      <c r="A181" s="15">
        <v>171</v>
      </c>
      <c r="B181" s="15" t="s">
        <v>310</v>
      </c>
      <c r="C181" s="15" t="s">
        <v>308</v>
      </c>
      <c r="D181" s="46" t="s">
        <v>215</v>
      </c>
      <c r="E181" s="15" t="s">
        <v>568</v>
      </c>
      <c r="F181" s="15">
        <v>3</v>
      </c>
      <c r="G181" s="15"/>
    </row>
    <row r="182" spans="1:7" hidden="1">
      <c r="A182" s="15">
        <v>172</v>
      </c>
      <c r="B182" s="15" t="s">
        <v>292</v>
      </c>
      <c r="C182" s="15" t="s">
        <v>154</v>
      </c>
      <c r="D182" s="46" t="s">
        <v>213</v>
      </c>
      <c r="E182" s="15" t="s">
        <v>832</v>
      </c>
      <c r="F182" s="15">
        <v>1</v>
      </c>
      <c r="G182" s="15"/>
    </row>
    <row r="183" spans="1:7" hidden="1">
      <c r="A183" s="15">
        <v>173</v>
      </c>
      <c r="B183" s="15" t="s">
        <v>292</v>
      </c>
      <c r="C183" s="15" t="s">
        <v>154</v>
      </c>
      <c r="D183" s="46" t="s">
        <v>214</v>
      </c>
      <c r="E183" s="15" t="s">
        <v>833</v>
      </c>
      <c r="F183" s="15">
        <v>2</v>
      </c>
      <c r="G183" s="15"/>
    </row>
    <row r="184" spans="1:7" hidden="1">
      <c r="A184" s="15">
        <v>174</v>
      </c>
      <c r="B184" s="15" t="s">
        <v>292</v>
      </c>
      <c r="C184" s="15" t="s">
        <v>154</v>
      </c>
      <c r="D184" s="46" t="s">
        <v>215</v>
      </c>
      <c r="E184" s="15" t="s">
        <v>834</v>
      </c>
      <c r="F184" s="15">
        <v>3</v>
      </c>
      <c r="G184" s="15" t="s">
        <v>559</v>
      </c>
    </row>
    <row r="185" spans="1:7" hidden="1">
      <c r="A185" s="15">
        <v>175</v>
      </c>
      <c r="B185" s="15" t="s">
        <v>292</v>
      </c>
      <c r="C185" s="15" t="s">
        <v>154</v>
      </c>
      <c r="D185" s="46" t="s">
        <v>216</v>
      </c>
      <c r="E185" s="15" t="s">
        <v>835</v>
      </c>
      <c r="F185" s="15">
        <v>4</v>
      </c>
      <c r="G185" s="15" t="s">
        <v>561</v>
      </c>
    </row>
    <row r="186" spans="1:7" hidden="1">
      <c r="A186" s="15">
        <v>176</v>
      </c>
      <c r="B186" s="15" t="s">
        <v>292</v>
      </c>
      <c r="C186" s="15" t="s">
        <v>154</v>
      </c>
      <c r="D186" s="46" t="s">
        <v>217</v>
      </c>
      <c r="E186" s="15" t="s">
        <v>125</v>
      </c>
      <c r="F186" s="15">
        <v>5</v>
      </c>
      <c r="G186" s="15"/>
    </row>
    <row r="187" spans="1:7" hidden="1">
      <c r="A187" s="15">
        <v>177</v>
      </c>
      <c r="B187" s="15" t="s">
        <v>292</v>
      </c>
      <c r="C187" s="15" t="s">
        <v>154</v>
      </c>
      <c r="D187" s="46" t="s">
        <v>218</v>
      </c>
      <c r="E187" s="15" t="s">
        <v>127</v>
      </c>
      <c r="F187" s="15">
        <v>6</v>
      </c>
      <c r="G187" s="15"/>
    </row>
    <row r="188" spans="1:7" hidden="1">
      <c r="A188" s="15">
        <v>178</v>
      </c>
      <c r="B188" s="15" t="s">
        <v>292</v>
      </c>
      <c r="C188" s="15" t="s">
        <v>154</v>
      </c>
      <c r="D188" s="46" t="s">
        <v>219</v>
      </c>
      <c r="E188" s="15" t="s">
        <v>129</v>
      </c>
      <c r="F188" s="15">
        <v>7</v>
      </c>
      <c r="G188" s="15"/>
    </row>
    <row r="189" spans="1:7" hidden="1">
      <c r="A189" s="15">
        <v>179</v>
      </c>
      <c r="B189" s="15" t="s">
        <v>292</v>
      </c>
      <c r="C189" s="15" t="s">
        <v>154</v>
      </c>
      <c r="D189" s="46" t="s">
        <v>220</v>
      </c>
      <c r="E189" s="15" t="s">
        <v>836</v>
      </c>
      <c r="F189" s="15">
        <v>8</v>
      </c>
      <c r="G189" s="15"/>
    </row>
    <row r="190" spans="1:7" hidden="1">
      <c r="A190" s="15">
        <v>180</v>
      </c>
      <c r="B190" s="15" t="s">
        <v>292</v>
      </c>
      <c r="C190" s="15" t="s">
        <v>154</v>
      </c>
      <c r="D190" s="46" t="s">
        <v>221</v>
      </c>
      <c r="E190" s="15" t="s">
        <v>837</v>
      </c>
      <c r="F190" s="15">
        <v>9</v>
      </c>
      <c r="G190" s="15"/>
    </row>
    <row r="191" spans="1:7" hidden="1">
      <c r="A191" s="15">
        <v>181</v>
      </c>
      <c r="B191" s="15" t="s">
        <v>292</v>
      </c>
      <c r="C191" s="15" t="s">
        <v>154</v>
      </c>
      <c r="D191" s="46" t="s">
        <v>222</v>
      </c>
      <c r="E191" s="15" t="s">
        <v>838</v>
      </c>
      <c r="F191" s="15">
        <v>10</v>
      </c>
      <c r="G191" s="15"/>
    </row>
    <row r="192" spans="1:7" hidden="1">
      <c r="A192" s="15">
        <v>182</v>
      </c>
      <c r="B192" s="15" t="s">
        <v>292</v>
      </c>
      <c r="C192" s="15" t="s">
        <v>154</v>
      </c>
      <c r="D192" s="46" t="s">
        <v>588</v>
      </c>
      <c r="E192" s="15" t="s">
        <v>839</v>
      </c>
      <c r="F192" s="15">
        <v>11</v>
      </c>
      <c r="G192" s="15"/>
    </row>
    <row r="193" spans="1:7" hidden="1">
      <c r="A193" s="15">
        <v>183</v>
      </c>
      <c r="B193" s="15" t="s">
        <v>292</v>
      </c>
      <c r="C193" s="15" t="s">
        <v>154</v>
      </c>
      <c r="D193" s="46" t="s">
        <v>590</v>
      </c>
      <c r="E193" s="15" t="s">
        <v>840</v>
      </c>
      <c r="F193" s="15">
        <v>12</v>
      </c>
      <c r="G193" s="15"/>
    </row>
    <row r="194" spans="1:7" hidden="1">
      <c r="A194" s="15">
        <v>184</v>
      </c>
      <c r="B194" s="15" t="s">
        <v>292</v>
      </c>
      <c r="C194" s="15" t="s">
        <v>154</v>
      </c>
      <c r="D194" s="46" t="s">
        <v>592</v>
      </c>
      <c r="E194" s="15" t="s">
        <v>841</v>
      </c>
      <c r="F194" s="15">
        <v>13</v>
      </c>
      <c r="G194" s="15"/>
    </row>
    <row r="195" spans="1:7" hidden="1">
      <c r="A195" s="15">
        <v>185</v>
      </c>
      <c r="B195" s="15" t="s">
        <v>292</v>
      </c>
      <c r="C195" s="15" t="s">
        <v>154</v>
      </c>
      <c r="D195" s="46" t="s">
        <v>594</v>
      </c>
      <c r="E195" s="15" t="s">
        <v>842</v>
      </c>
      <c r="F195" s="15">
        <v>14</v>
      </c>
      <c r="G195" s="15"/>
    </row>
    <row r="196" spans="1:7" hidden="1">
      <c r="A196" s="15">
        <v>186</v>
      </c>
      <c r="B196" s="15" t="s">
        <v>292</v>
      </c>
      <c r="C196" s="15" t="s">
        <v>154</v>
      </c>
      <c r="D196" s="46" t="s">
        <v>596</v>
      </c>
      <c r="E196" s="15" t="s">
        <v>843</v>
      </c>
      <c r="F196" s="15">
        <v>15</v>
      </c>
      <c r="G196" s="15"/>
    </row>
    <row r="197" spans="1:7" hidden="1">
      <c r="A197" s="15">
        <v>187</v>
      </c>
      <c r="B197" s="15" t="s">
        <v>292</v>
      </c>
      <c r="C197" s="15" t="s">
        <v>154</v>
      </c>
      <c r="D197" s="46" t="s">
        <v>598</v>
      </c>
      <c r="E197" s="15" t="s">
        <v>844</v>
      </c>
      <c r="F197" s="15">
        <v>16</v>
      </c>
      <c r="G197" s="15"/>
    </row>
    <row r="198" spans="1:7" hidden="1">
      <c r="A198" s="15">
        <v>188</v>
      </c>
      <c r="B198" s="15" t="s">
        <v>292</v>
      </c>
      <c r="C198" s="15" t="s">
        <v>154</v>
      </c>
      <c r="D198" s="46" t="s">
        <v>845</v>
      </c>
      <c r="E198" s="15" t="s">
        <v>846</v>
      </c>
      <c r="F198" s="15">
        <v>17</v>
      </c>
      <c r="G198" s="15"/>
    </row>
    <row r="199" spans="1:7" hidden="1">
      <c r="A199" s="15">
        <v>189</v>
      </c>
      <c r="B199" s="15" t="s">
        <v>292</v>
      </c>
      <c r="C199" s="15" t="s">
        <v>154</v>
      </c>
      <c r="D199" s="46" t="s">
        <v>847</v>
      </c>
      <c r="E199" s="15" t="s">
        <v>848</v>
      </c>
      <c r="F199" s="15">
        <v>18</v>
      </c>
      <c r="G199" s="15"/>
    </row>
    <row r="200" spans="1:7" hidden="1">
      <c r="A200" s="15">
        <v>190</v>
      </c>
      <c r="B200" s="15" t="s">
        <v>292</v>
      </c>
      <c r="C200" s="15" t="s">
        <v>154</v>
      </c>
      <c r="D200" s="46" t="s">
        <v>849</v>
      </c>
      <c r="E200" s="15" t="s">
        <v>850</v>
      </c>
      <c r="F200" s="15">
        <v>19</v>
      </c>
      <c r="G200" s="15"/>
    </row>
    <row r="201" spans="1:7" hidden="1">
      <c r="A201" s="15">
        <v>191</v>
      </c>
      <c r="B201" s="15" t="s">
        <v>292</v>
      </c>
      <c r="C201" s="15" t="s">
        <v>154</v>
      </c>
      <c r="D201" s="46" t="s">
        <v>851</v>
      </c>
      <c r="E201" s="15" t="s">
        <v>852</v>
      </c>
      <c r="F201" s="15">
        <v>20</v>
      </c>
      <c r="G201" s="15"/>
    </row>
    <row r="202" spans="1:7" hidden="1">
      <c r="A202" s="15">
        <v>192</v>
      </c>
      <c r="B202" s="15" t="s">
        <v>292</v>
      </c>
      <c r="C202" s="15" t="s">
        <v>154</v>
      </c>
      <c r="D202" s="46" t="s">
        <v>853</v>
      </c>
      <c r="E202" s="15" t="s">
        <v>854</v>
      </c>
      <c r="F202" s="15">
        <v>21</v>
      </c>
      <c r="G202" s="15"/>
    </row>
    <row r="203" spans="1:7" hidden="1">
      <c r="A203" s="15">
        <v>193</v>
      </c>
      <c r="B203" s="15" t="s">
        <v>292</v>
      </c>
      <c r="C203" s="15" t="s">
        <v>154</v>
      </c>
      <c r="D203" s="46" t="s">
        <v>855</v>
      </c>
      <c r="E203" s="15" t="s">
        <v>856</v>
      </c>
      <c r="F203" s="15">
        <v>22</v>
      </c>
      <c r="G203" s="15"/>
    </row>
    <row r="204" spans="1:7" hidden="1">
      <c r="A204" s="15">
        <v>194</v>
      </c>
      <c r="B204" s="15" t="s">
        <v>292</v>
      </c>
      <c r="C204" s="15" t="s">
        <v>154</v>
      </c>
      <c r="D204" s="46" t="s">
        <v>857</v>
      </c>
      <c r="E204" s="15" t="s">
        <v>858</v>
      </c>
      <c r="F204" s="15">
        <v>23</v>
      </c>
      <c r="G204" s="15"/>
    </row>
    <row r="205" spans="1:7" hidden="1">
      <c r="A205" s="15">
        <v>195</v>
      </c>
      <c r="B205" s="15" t="s">
        <v>292</v>
      </c>
      <c r="C205" s="15" t="s">
        <v>154</v>
      </c>
      <c r="D205" s="46" t="s">
        <v>859</v>
      </c>
      <c r="E205" s="15" t="s">
        <v>860</v>
      </c>
      <c r="F205" s="15">
        <v>24</v>
      </c>
      <c r="G205" s="15"/>
    </row>
    <row r="206" spans="1:7" hidden="1">
      <c r="A206" s="15">
        <v>196</v>
      </c>
      <c r="B206" s="15" t="s">
        <v>292</v>
      </c>
      <c r="C206" s="15" t="s">
        <v>154</v>
      </c>
      <c r="D206" s="46" t="s">
        <v>861</v>
      </c>
      <c r="E206" s="15" t="s">
        <v>862</v>
      </c>
      <c r="F206" s="15">
        <v>25</v>
      </c>
      <c r="G206" s="15"/>
    </row>
    <row r="207" spans="1:7" hidden="1">
      <c r="A207" s="15">
        <v>197</v>
      </c>
      <c r="B207" s="15" t="s">
        <v>292</v>
      </c>
      <c r="C207" s="15" t="s">
        <v>154</v>
      </c>
      <c r="D207" s="46" t="s">
        <v>863</v>
      </c>
      <c r="E207" s="15" t="s">
        <v>864</v>
      </c>
      <c r="F207" s="15">
        <v>26</v>
      </c>
      <c r="G207" s="15"/>
    </row>
    <row r="208" spans="1:7" hidden="1">
      <c r="A208" s="15">
        <v>198</v>
      </c>
      <c r="B208" s="15" t="s">
        <v>292</v>
      </c>
      <c r="C208" s="15" t="s">
        <v>154</v>
      </c>
      <c r="D208" s="46" t="s">
        <v>865</v>
      </c>
      <c r="E208" s="15" t="s">
        <v>866</v>
      </c>
      <c r="F208" s="15">
        <v>27</v>
      </c>
      <c r="G208" s="15"/>
    </row>
    <row r="209" spans="1:7" hidden="1">
      <c r="A209" s="15">
        <v>199</v>
      </c>
      <c r="B209" s="15" t="s">
        <v>292</v>
      </c>
      <c r="C209" s="15" t="s">
        <v>154</v>
      </c>
      <c r="D209" s="46" t="s">
        <v>867</v>
      </c>
      <c r="E209" s="15" t="s">
        <v>868</v>
      </c>
      <c r="F209" s="15">
        <v>28</v>
      </c>
      <c r="G209" s="15"/>
    </row>
    <row r="210" spans="1:7" hidden="1">
      <c r="A210" s="15">
        <v>200</v>
      </c>
      <c r="B210" s="15" t="s">
        <v>292</v>
      </c>
      <c r="C210" s="15" t="s">
        <v>154</v>
      </c>
      <c r="D210" s="46" t="s">
        <v>869</v>
      </c>
      <c r="E210" s="15" t="s">
        <v>870</v>
      </c>
      <c r="F210" s="15">
        <v>29</v>
      </c>
      <c r="G210" s="15"/>
    </row>
    <row r="211" spans="1:7" hidden="1">
      <c r="A211" s="15">
        <v>201</v>
      </c>
      <c r="B211" s="15" t="s">
        <v>296</v>
      </c>
      <c r="C211" s="15" t="s">
        <v>294</v>
      </c>
      <c r="D211" s="46" t="s">
        <v>213</v>
      </c>
      <c r="E211" s="35" t="s">
        <v>600</v>
      </c>
      <c r="F211" s="15">
        <v>1</v>
      </c>
      <c r="G211" s="15"/>
    </row>
    <row r="212" spans="1:7" hidden="1">
      <c r="A212" s="15">
        <v>202</v>
      </c>
      <c r="B212" s="15" t="s">
        <v>296</v>
      </c>
      <c r="C212" s="15" t="s">
        <v>294</v>
      </c>
      <c r="D212" s="46" t="s">
        <v>214</v>
      </c>
      <c r="E212" s="35" t="s">
        <v>601</v>
      </c>
      <c r="F212" s="15">
        <v>2</v>
      </c>
      <c r="G212" s="15"/>
    </row>
    <row r="213" spans="1:7" hidden="1">
      <c r="A213" s="15">
        <v>203</v>
      </c>
      <c r="B213" s="15" t="s">
        <v>295</v>
      </c>
      <c r="C213" s="15" t="s">
        <v>294</v>
      </c>
      <c r="D213" s="46" t="s">
        <v>215</v>
      </c>
      <c r="E213" s="35" t="s">
        <v>602</v>
      </c>
      <c r="F213" s="15">
        <v>3</v>
      </c>
      <c r="G213" s="15"/>
    </row>
    <row r="214" spans="1:7" hidden="1">
      <c r="A214" s="15">
        <v>204</v>
      </c>
      <c r="B214" s="15" t="s">
        <v>295</v>
      </c>
      <c r="C214" s="15" t="s">
        <v>294</v>
      </c>
      <c r="D214" s="46" t="s">
        <v>216</v>
      </c>
      <c r="E214" s="35" t="s">
        <v>871</v>
      </c>
      <c r="F214" s="15">
        <v>4</v>
      </c>
      <c r="G214" s="15"/>
    </row>
    <row r="215" spans="1:7" hidden="1">
      <c r="A215" s="15">
        <v>205</v>
      </c>
      <c r="B215" s="15" t="s">
        <v>298</v>
      </c>
      <c r="C215" s="15" t="s">
        <v>297</v>
      </c>
      <c r="D215" s="52">
        <v>101</v>
      </c>
      <c r="E215" s="35" t="s">
        <v>872</v>
      </c>
      <c r="F215" s="15">
        <v>1</v>
      </c>
      <c r="G215" s="15"/>
    </row>
    <row r="216" spans="1:7" hidden="1">
      <c r="A216" s="15">
        <v>206</v>
      </c>
      <c r="B216" s="15" t="s">
        <v>298</v>
      </c>
      <c r="C216" s="15" t="s">
        <v>297</v>
      </c>
      <c r="D216" s="52">
        <v>102</v>
      </c>
      <c r="E216" s="35" t="s">
        <v>873</v>
      </c>
      <c r="F216" s="15">
        <v>2</v>
      </c>
      <c r="G216" s="15"/>
    </row>
    <row r="217" spans="1:7" hidden="1">
      <c r="A217" s="15">
        <v>207</v>
      </c>
      <c r="B217" s="15" t="s">
        <v>298</v>
      </c>
      <c r="C217" s="15" t="s">
        <v>297</v>
      </c>
      <c r="D217" s="46" t="s">
        <v>213</v>
      </c>
      <c r="E217" s="35" t="s">
        <v>874</v>
      </c>
      <c r="F217" s="15">
        <v>3</v>
      </c>
      <c r="G217" s="15"/>
    </row>
    <row r="218" spans="1:7" hidden="1">
      <c r="A218" s="15">
        <v>208</v>
      </c>
      <c r="B218" s="15" t="s">
        <v>298</v>
      </c>
      <c r="C218" s="15" t="s">
        <v>297</v>
      </c>
      <c r="D218" s="46" t="s">
        <v>214</v>
      </c>
      <c r="E218" s="35" t="s">
        <v>875</v>
      </c>
      <c r="F218" s="15">
        <v>4</v>
      </c>
      <c r="G218" s="15"/>
    </row>
    <row r="219" spans="1:7" hidden="1">
      <c r="A219" s="15">
        <v>209</v>
      </c>
      <c r="B219" s="15" t="s">
        <v>298</v>
      </c>
      <c r="C219" s="15" t="s">
        <v>297</v>
      </c>
      <c r="D219" s="46" t="s">
        <v>215</v>
      </c>
      <c r="E219" s="35" t="s">
        <v>876</v>
      </c>
      <c r="F219" s="15">
        <v>5</v>
      </c>
      <c r="G219" s="15"/>
    </row>
    <row r="220" spans="1:7" hidden="1">
      <c r="A220" s="15">
        <v>210</v>
      </c>
      <c r="B220" s="15" t="s">
        <v>298</v>
      </c>
      <c r="C220" s="15" t="s">
        <v>297</v>
      </c>
      <c r="D220" s="46" t="s">
        <v>216</v>
      </c>
      <c r="E220" s="35" t="s">
        <v>877</v>
      </c>
      <c r="F220" s="15">
        <v>6</v>
      </c>
      <c r="G220" s="15"/>
    </row>
    <row r="221" spans="1:7" hidden="1">
      <c r="A221" s="15">
        <v>211</v>
      </c>
      <c r="B221" s="15" t="s">
        <v>298</v>
      </c>
      <c r="C221" s="15" t="s">
        <v>297</v>
      </c>
      <c r="D221" s="46" t="s">
        <v>217</v>
      </c>
      <c r="E221" s="35" t="s">
        <v>878</v>
      </c>
      <c r="F221" s="15">
        <v>7</v>
      </c>
      <c r="G221" s="15"/>
    </row>
    <row r="222" spans="1:7" hidden="1">
      <c r="A222" s="15">
        <v>212</v>
      </c>
      <c r="B222" s="15" t="s">
        <v>298</v>
      </c>
      <c r="C222" s="15" t="s">
        <v>297</v>
      </c>
      <c r="D222" s="46" t="s">
        <v>218</v>
      </c>
      <c r="E222" s="35" t="s">
        <v>879</v>
      </c>
      <c r="F222" s="15">
        <v>8</v>
      </c>
      <c r="G222" s="15"/>
    </row>
    <row r="223" spans="1:7" hidden="1">
      <c r="A223" s="15">
        <v>213</v>
      </c>
      <c r="B223" s="15" t="s">
        <v>298</v>
      </c>
      <c r="C223" s="15" t="s">
        <v>297</v>
      </c>
      <c r="D223" s="46" t="s">
        <v>219</v>
      </c>
      <c r="E223" s="35" t="s">
        <v>880</v>
      </c>
      <c r="F223" s="15">
        <v>9</v>
      </c>
      <c r="G223" s="15"/>
    </row>
    <row r="224" spans="1:7" hidden="1">
      <c r="A224" s="15">
        <v>214</v>
      </c>
      <c r="B224" s="15" t="s">
        <v>298</v>
      </c>
      <c r="C224" s="15" t="s">
        <v>297</v>
      </c>
      <c r="D224" s="46" t="s">
        <v>220</v>
      </c>
      <c r="E224" s="35" t="s">
        <v>881</v>
      </c>
      <c r="F224" s="15">
        <v>10</v>
      </c>
      <c r="G224" s="15"/>
    </row>
    <row r="225" spans="1:7" hidden="1">
      <c r="A225" s="15">
        <v>215</v>
      </c>
      <c r="B225" s="15" t="s">
        <v>298</v>
      </c>
      <c r="C225" s="15" t="s">
        <v>297</v>
      </c>
      <c r="D225" s="46" t="s">
        <v>221</v>
      </c>
      <c r="E225" s="35" t="s">
        <v>882</v>
      </c>
      <c r="F225" s="15">
        <v>11</v>
      </c>
      <c r="G225" s="15"/>
    </row>
    <row r="226" spans="1:7" hidden="1">
      <c r="A226" s="15">
        <v>216</v>
      </c>
      <c r="B226" s="15" t="s">
        <v>298</v>
      </c>
      <c r="C226" s="15" t="s">
        <v>297</v>
      </c>
      <c r="D226" s="46" t="s">
        <v>222</v>
      </c>
      <c r="E226" s="35" t="s">
        <v>883</v>
      </c>
      <c r="F226" s="15">
        <v>12</v>
      </c>
      <c r="G226" s="15"/>
    </row>
    <row r="227" spans="1:7" hidden="1">
      <c r="A227" s="15">
        <v>217</v>
      </c>
      <c r="B227" s="15" t="s">
        <v>298</v>
      </c>
      <c r="C227" s="15" t="s">
        <v>297</v>
      </c>
      <c r="D227" s="46" t="s">
        <v>884</v>
      </c>
      <c r="E227" s="35" t="s">
        <v>885</v>
      </c>
      <c r="F227" s="15">
        <v>13</v>
      </c>
      <c r="G227" s="15"/>
    </row>
    <row r="228" spans="1:7">
      <c r="A228" s="15">
        <v>218</v>
      </c>
      <c r="B228" s="15" t="s">
        <v>449</v>
      </c>
      <c r="C228" s="15" t="s">
        <v>886</v>
      </c>
      <c r="D228" s="46" t="s">
        <v>887</v>
      </c>
      <c r="E228" s="35" t="s">
        <v>888</v>
      </c>
      <c r="F228" s="15">
        <v>1</v>
      </c>
      <c r="G228" s="15"/>
    </row>
    <row r="229" spans="1:7">
      <c r="A229" s="15">
        <v>219</v>
      </c>
      <c r="B229" s="15" t="s">
        <v>449</v>
      </c>
      <c r="C229" s="15" t="s">
        <v>886</v>
      </c>
      <c r="D229" s="46" t="s">
        <v>889</v>
      </c>
      <c r="E229" s="35" t="s">
        <v>890</v>
      </c>
      <c r="F229" s="15">
        <v>2</v>
      </c>
      <c r="G229" s="15"/>
    </row>
    <row r="230" spans="1:7">
      <c r="A230" s="15">
        <v>220</v>
      </c>
      <c r="B230" s="15" t="s">
        <v>449</v>
      </c>
      <c r="C230" s="15" t="s">
        <v>886</v>
      </c>
      <c r="D230" s="46" t="s">
        <v>891</v>
      </c>
      <c r="E230" s="35" t="s">
        <v>892</v>
      </c>
      <c r="F230" s="15">
        <v>3</v>
      </c>
      <c r="G230" s="15"/>
    </row>
    <row r="231" spans="1:7">
      <c r="A231" s="15">
        <v>221</v>
      </c>
      <c r="B231" s="15" t="s">
        <v>449</v>
      </c>
      <c r="C231" s="15" t="s">
        <v>886</v>
      </c>
      <c r="D231" s="46" t="s">
        <v>893</v>
      </c>
      <c r="E231" s="35" t="s">
        <v>894</v>
      </c>
      <c r="F231" s="15">
        <v>4</v>
      </c>
      <c r="G231" s="15"/>
    </row>
    <row r="232" spans="1:7" hidden="1">
      <c r="A232" s="15">
        <v>222</v>
      </c>
      <c r="B232" s="15" t="s">
        <v>895</v>
      </c>
      <c r="C232" s="15" t="s">
        <v>463</v>
      </c>
      <c r="D232" s="15" t="s">
        <v>896</v>
      </c>
      <c r="E232" s="15" t="s">
        <v>897</v>
      </c>
      <c r="F232" s="15">
        <v>1</v>
      </c>
      <c r="G232" s="15"/>
    </row>
    <row r="233" spans="1:7" hidden="1">
      <c r="A233" s="15">
        <v>223</v>
      </c>
      <c r="B233" s="15" t="s">
        <v>895</v>
      </c>
      <c r="C233" s="15" t="s">
        <v>463</v>
      </c>
      <c r="D233" s="15" t="s">
        <v>898</v>
      </c>
      <c r="E233" s="15" t="s">
        <v>899</v>
      </c>
      <c r="F233" s="15">
        <v>2</v>
      </c>
      <c r="G233" s="15"/>
    </row>
  </sheetData>
  <autoFilter ref="A10:G233">
    <filterColumn colId="1">
      <filters>
        <filter val="UseLangCd"/>
      </filters>
    </filterColumn>
  </autoFilter>
  <mergeCells count="1">
    <mergeCell ref="A1:G1"/>
  </mergeCells>
  <phoneticPr fontId="3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L32"/>
  <sheetViews>
    <sheetView zoomScale="85" zoomScaleNormal="85" workbookViewId="0">
      <pane ySplit="3" topLeftCell="A4" activePane="bottomLeft" state="frozen"/>
      <selection pane="bottomLeft" activeCell="A4" sqref="A4:A11"/>
    </sheetView>
  </sheetViews>
  <sheetFormatPr defaultRowHeight="17"/>
  <cols>
    <col min="1" max="1" width="17.58203125" bestFit="1" customWidth="1"/>
    <col min="2" max="8" width="13.08203125" customWidth="1"/>
    <col min="9" max="9" width="15.83203125" bestFit="1" customWidth="1"/>
    <col min="10" max="10" width="27.75" bestFit="1" customWidth="1"/>
    <col min="11" max="11" width="62.08203125" bestFit="1" customWidth="1"/>
    <col min="12" max="12" width="57.08203125" customWidth="1"/>
  </cols>
  <sheetData>
    <row r="1" spans="1:12" ht="30.5" thickBot="1">
      <c r="A1" s="73" t="s">
        <v>57</v>
      </c>
      <c r="B1" s="74"/>
      <c r="C1" s="74"/>
      <c r="D1" s="74"/>
      <c r="E1" s="74"/>
      <c r="F1" s="74"/>
      <c r="G1" s="74"/>
      <c r="H1" s="74"/>
      <c r="I1" s="74"/>
      <c r="J1" s="74"/>
      <c r="K1" s="74"/>
      <c r="L1" s="75"/>
    </row>
    <row r="3" spans="1:12" ht="17.5" thickBot="1">
      <c r="A3" s="12" t="s">
        <v>19</v>
      </c>
      <c r="B3" s="12" t="s">
        <v>20</v>
      </c>
      <c r="C3" s="12" t="s">
        <v>21</v>
      </c>
      <c r="D3" s="12" t="s">
        <v>22</v>
      </c>
      <c r="E3" s="12" t="s">
        <v>23</v>
      </c>
      <c r="F3" s="12" t="s">
        <v>24</v>
      </c>
      <c r="G3" s="12" t="s">
        <v>25</v>
      </c>
      <c r="H3" s="12" t="s">
        <v>26</v>
      </c>
      <c r="I3" s="12" t="s">
        <v>27</v>
      </c>
      <c r="J3" s="12" t="s">
        <v>28</v>
      </c>
      <c r="K3" s="12" t="s">
        <v>29</v>
      </c>
      <c r="L3" s="12" t="s">
        <v>58</v>
      </c>
    </row>
    <row r="4" spans="1:12">
      <c r="A4" s="90" t="s">
        <v>30</v>
      </c>
      <c r="B4" s="93" t="s">
        <v>32</v>
      </c>
      <c r="C4" s="13" t="s">
        <v>0</v>
      </c>
      <c r="D4" s="79" t="s">
        <v>31</v>
      </c>
      <c r="E4" s="80"/>
      <c r="F4" s="80"/>
      <c r="G4" s="80"/>
      <c r="H4" s="80"/>
      <c r="I4" s="80"/>
      <c r="J4" s="80"/>
      <c r="K4" s="80"/>
      <c r="L4" s="81"/>
    </row>
    <row r="5" spans="1:12">
      <c r="A5" s="91"/>
      <c r="B5" s="86"/>
      <c r="C5" s="88" t="s">
        <v>33</v>
      </c>
      <c r="D5" s="1" t="s">
        <v>35</v>
      </c>
      <c r="E5" s="1"/>
      <c r="F5" s="1" t="s">
        <v>1</v>
      </c>
      <c r="G5" s="1">
        <v>2</v>
      </c>
      <c r="H5" s="1" t="s">
        <v>2</v>
      </c>
      <c r="I5" s="1" t="s">
        <v>37</v>
      </c>
      <c r="J5" s="2" t="s">
        <v>3</v>
      </c>
      <c r="K5" s="2" t="s">
        <v>54</v>
      </c>
      <c r="L5" s="76" t="s">
        <v>60</v>
      </c>
    </row>
    <row r="6" spans="1:12">
      <c r="A6" s="91"/>
      <c r="B6" s="86"/>
      <c r="C6" s="88"/>
      <c r="D6" s="1" t="s">
        <v>4</v>
      </c>
      <c r="E6" s="1"/>
      <c r="F6" s="1" t="s">
        <v>1</v>
      </c>
      <c r="G6" s="1">
        <v>100</v>
      </c>
      <c r="H6" s="1" t="s">
        <v>2</v>
      </c>
      <c r="I6" s="1" t="s">
        <v>38</v>
      </c>
      <c r="J6" s="2" t="s">
        <v>5</v>
      </c>
      <c r="K6" s="2" t="s">
        <v>6</v>
      </c>
      <c r="L6" s="77"/>
    </row>
    <row r="7" spans="1:12">
      <c r="A7" s="91"/>
      <c r="B7" s="86"/>
      <c r="C7" s="88"/>
      <c r="D7" s="7" t="s">
        <v>7</v>
      </c>
      <c r="E7" s="1"/>
      <c r="F7" s="1" t="s">
        <v>1</v>
      </c>
      <c r="G7" s="1">
        <v>255</v>
      </c>
      <c r="H7" s="1" t="s">
        <v>2</v>
      </c>
      <c r="I7" s="1" t="s">
        <v>36</v>
      </c>
      <c r="J7" s="2" t="s">
        <v>8</v>
      </c>
      <c r="K7" s="2" t="s">
        <v>9</v>
      </c>
      <c r="L7" s="77"/>
    </row>
    <row r="8" spans="1:12">
      <c r="A8" s="91"/>
      <c r="B8" s="86"/>
      <c r="C8" s="88"/>
      <c r="D8" s="1" t="s">
        <v>10</v>
      </c>
      <c r="E8" s="1"/>
      <c r="F8" s="1" t="s">
        <v>1</v>
      </c>
      <c r="G8" s="1">
        <v>200</v>
      </c>
      <c r="H8" s="1" t="s">
        <v>2</v>
      </c>
      <c r="I8" s="1" t="s">
        <v>17</v>
      </c>
      <c r="J8" s="2" t="s">
        <v>18</v>
      </c>
      <c r="K8" s="2"/>
      <c r="L8" s="77"/>
    </row>
    <row r="9" spans="1:12">
      <c r="A9" s="91"/>
      <c r="B9" s="86"/>
      <c r="C9" s="88"/>
      <c r="D9" s="1" t="s">
        <v>11</v>
      </c>
      <c r="E9" s="1"/>
      <c r="F9" s="1" t="s">
        <v>1</v>
      </c>
      <c r="G9" s="1">
        <v>512</v>
      </c>
      <c r="H9" s="1" t="s">
        <v>2</v>
      </c>
      <c r="I9" s="1" t="s">
        <v>39</v>
      </c>
      <c r="J9" s="2" t="s">
        <v>40</v>
      </c>
      <c r="K9" s="4"/>
      <c r="L9" s="77"/>
    </row>
    <row r="10" spans="1:12" ht="136">
      <c r="A10" s="91"/>
      <c r="B10" s="86"/>
      <c r="C10" s="88" t="s">
        <v>34</v>
      </c>
      <c r="D10" s="1" t="s">
        <v>12</v>
      </c>
      <c r="E10" s="1"/>
      <c r="F10" s="1" t="s">
        <v>13</v>
      </c>
      <c r="G10" s="1">
        <v>4</v>
      </c>
      <c r="H10" s="1" t="s">
        <v>2</v>
      </c>
      <c r="I10" s="1" t="s">
        <v>14</v>
      </c>
      <c r="J10" s="2" t="s">
        <v>55</v>
      </c>
      <c r="K10" s="5" t="s">
        <v>41</v>
      </c>
      <c r="L10" s="76" t="s">
        <v>61</v>
      </c>
    </row>
    <row r="11" spans="1:12" ht="17.5" thickBot="1">
      <c r="A11" s="92"/>
      <c r="B11" s="87"/>
      <c r="C11" s="89"/>
      <c r="D11" s="8" t="s">
        <v>15</v>
      </c>
      <c r="E11" s="8"/>
      <c r="F11" s="8" t="s">
        <v>1</v>
      </c>
      <c r="G11" s="8">
        <v>100</v>
      </c>
      <c r="H11" s="8"/>
      <c r="I11" s="8" t="s">
        <v>56</v>
      </c>
      <c r="J11" s="9" t="s">
        <v>62</v>
      </c>
      <c r="K11" s="10" t="s">
        <v>42</v>
      </c>
      <c r="L11" s="78"/>
    </row>
    <row r="12" spans="1:12">
      <c r="A12" s="82" t="s">
        <v>43</v>
      </c>
      <c r="B12" s="85" t="s">
        <v>44</v>
      </c>
      <c r="C12" s="14" t="s">
        <v>0</v>
      </c>
      <c r="D12" s="79" t="s">
        <v>48</v>
      </c>
      <c r="E12" s="80"/>
      <c r="F12" s="80"/>
      <c r="G12" s="80"/>
      <c r="H12" s="80"/>
      <c r="I12" s="80"/>
      <c r="J12" s="80"/>
      <c r="K12" s="80"/>
      <c r="L12" s="81"/>
    </row>
    <row r="13" spans="1:12">
      <c r="A13" s="83"/>
      <c r="B13" s="86"/>
      <c r="C13" s="88" t="s">
        <v>33</v>
      </c>
      <c r="D13" s="1" t="s">
        <v>35</v>
      </c>
      <c r="E13" s="1"/>
      <c r="F13" s="1" t="s">
        <v>1</v>
      </c>
      <c r="G13" s="1">
        <v>2</v>
      </c>
      <c r="H13" s="1" t="s">
        <v>2</v>
      </c>
      <c r="I13" s="1" t="s">
        <v>37</v>
      </c>
      <c r="J13" s="2" t="s">
        <v>3</v>
      </c>
      <c r="K13" s="2" t="s">
        <v>54</v>
      </c>
      <c r="L13" s="76" t="s">
        <v>59</v>
      </c>
    </row>
    <row r="14" spans="1:12">
      <c r="A14" s="83"/>
      <c r="B14" s="86"/>
      <c r="C14" s="88"/>
      <c r="D14" s="1" t="s">
        <v>4</v>
      </c>
      <c r="E14" s="1"/>
      <c r="F14" s="1" t="s">
        <v>1</v>
      </c>
      <c r="G14" s="1">
        <v>100</v>
      </c>
      <c r="H14" s="1" t="s">
        <v>2</v>
      </c>
      <c r="I14" s="1" t="s">
        <v>38</v>
      </c>
      <c r="J14" s="2" t="s">
        <v>5</v>
      </c>
      <c r="K14" s="2" t="s">
        <v>6</v>
      </c>
      <c r="L14" s="77"/>
    </row>
    <row r="15" spans="1:12">
      <c r="A15" s="83"/>
      <c r="B15" s="86"/>
      <c r="C15" s="88"/>
      <c r="D15" s="7" t="s">
        <v>7</v>
      </c>
      <c r="E15" s="1"/>
      <c r="F15" s="1" t="s">
        <v>1</v>
      </c>
      <c r="G15" s="1">
        <v>255</v>
      </c>
      <c r="H15" s="1" t="s">
        <v>2</v>
      </c>
      <c r="I15" s="1" t="s">
        <v>36</v>
      </c>
      <c r="J15" s="2" t="s">
        <v>8</v>
      </c>
      <c r="K15" s="2" t="s">
        <v>9</v>
      </c>
      <c r="L15" s="77"/>
    </row>
    <row r="16" spans="1:12">
      <c r="A16" s="83"/>
      <c r="B16" s="86"/>
      <c r="C16" s="88"/>
      <c r="D16" s="1" t="s">
        <v>10</v>
      </c>
      <c r="E16" s="1"/>
      <c r="F16" s="1" t="s">
        <v>1</v>
      </c>
      <c r="G16" s="1">
        <v>200</v>
      </c>
      <c r="H16" s="1" t="s">
        <v>2</v>
      </c>
      <c r="I16" s="1" t="s">
        <v>17</v>
      </c>
      <c r="J16" s="2" t="s">
        <v>18</v>
      </c>
      <c r="K16" s="2"/>
      <c r="L16" s="77"/>
    </row>
    <row r="17" spans="1:12">
      <c r="A17" s="83"/>
      <c r="B17" s="86"/>
      <c r="C17" s="88"/>
      <c r="D17" s="1" t="s">
        <v>11</v>
      </c>
      <c r="E17" s="1"/>
      <c r="F17" s="1" t="s">
        <v>1</v>
      </c>
      <c r="G17" s="1">
        <v>512</v>
      </c>
      <c r="H17" s="1" t="s">
        <v>2</v>
      </c>
      <c r="I17" s="1" t="s">
        <v>39</v>
      </c>
      <c r="J17" s="2" t="s">
        <v>40</v>
      </c>
      <c r="K17" s="4"/>
      <c r="L17" s="77"/>
    </row>
    <row r="18" spans="1:12" ht="136">
      <c r="A18" s="83"/>
      <c r="B18" s="86"/>
      <c r="C18" s="88" t="s">
        <v>34</v>
      </c>
      <c r="D18" s="1" t="s">
        <v>12</v>
      </c>
      <c r="E18" s="1"/>
      <c r="F18" s="1" t="s">
        <v>13</v>
      </c>
      <c r="G18" s="1">
        <v>4</v>
      </c>
      <c r="H18" s="1" t="s">
        <v>2</v>
      </c>
      <c r="I18" s="1" t="s">
        <v>14</v>
      </c>
      <c r="J18" s="2" t="s">
        <v>55</v>
      </c>
      <c r="K18" s="5" t="s">
        <v>41</v>
      </c>
      <c r="L18" s="76" t="s">
        <v>63</v>
      </c>
    </row>
    <row r="19" spans="1:12">
      <c r="A19" s="83"/>
      <c r="B19" s="86"/>
      <c r="C19" s="88"/>
      <c r="D19" s="1" t="s">
        <v>15</v>
      </c>
      <c r="E19" s="1"/>
      <c r="F19" s="1" t="s">
        <v>1</v>
      </c>
      <c r="G19" s="1">
        <v>500</v>
      </c>
      <c r="H19" s="1"/>
      <c r="I19" s="1" t="s">
        <v>56</v>
      </c>
      <c r="J19" s="2" t="s">
        <v>62</v>
      </c>
      <c r="K19" s="3" t="s">
        <v>42</v>
      </c>
      <c r="L19" s="77"/>
    </row>
    <row r="20" spans="1:12">
      <c r="A20" s="83"/>
      <c r="B20" s="86"/>
      <c r="C20" s="88"/>
      <c r="D20" s="71" t="s">
        <v>16</v>
      </c>
      <c r="E20" s="6" t="s">
        <v>49</v>
      </c>
      <c r="F20" s="1" t="s">
        <v>1</v>
      </c>
      <c r="G20" s="1">
        <v>20</v>
      </c>
      <c r="H20" s="1" t="s">
        <v>2</v>
      </c>
      <c r="I20" s="1" t="s">
        <v>52</v>
      </c>
      <c r="J20" s="2"/>
      <c r="K20" s="2"/>
      <c r="L20" s="77"/>
    </row>
    <row r="21" spans="1:12">
      <c r="A21" s="83"/>
      <c r="B21" s="86"/>
      <c r="C21" s="88"/>
      <c r="D21" s="71"/>
      <c r="E21" s="6" t="s">
        <v>50</v>
      </c>
      <c r="F21" s="1" t="s">
        <v>1</v>
      </c>
      <c r="G21" s="1">
        <v>10</v>
      </c>
      <c r="H21" s="1" t="s">
        <v>2</v>
      </c>
      <c r="I21" s="1" t="s">
        <v>45</v>
      </c>
      <c r="J21" s="2" t="s">
        <v>53</v>
      </c>
      <c r="K21" s="2"/>
      <c r="L21" s="77"/>
    </row>
    <row r="22" spans="1:12" ht="17.5" thickBot="1">
      <c r="A22" s="84"/>
      <c r="B22" s="87"/>
      <c r="C22" s="89"/>
      <c r="D22" s="72"/>
      <c r="E22" s="11" t="s">
        <v>51</v>
      </c>
      <c r="F22" s="8" t="s">
        <v>1</v>
      </c>
      <c r="G22" s="8">
        <v>20</v>
      </c>
      <c r="H22" s="8" t="s">
        <v>2</v>
      </c>
      <c r="I22" s="8" t="s">
        <v>46</v>
      </c>
      <c r="J22" s="9" t="s">
        <v>47</v>
      </c>
      <c r="K22" s="9"/>
      <c r="L22" s="78"/>
    </row>
    <row r="23" spans="1:12">
      <c r="A23" s="82" t="s">
        <v>64</v>
      </c>
      <c r="B23" s="85" t="s">
        <v>65</v>
      </c>
      <c r="C23" s="14" t="s">
        <v>0</v>
      </c>
      <c r="D23" s="69" t="s">
        <v>68</v>
      </c>
      <c r="E23" s="69"/>
      <c r="F23" s="69"/>
      <c r="G23" s="69"/>
      <c r="H23" s="69"/>
      <c r="I23" s="69"/>
      <c r="J23" s="69"/>
      <c r="K23" s="69"/>
      <c r="L23" s="69"/>
    </row>
    <row r="24" spans="1:12">
      <c r="A24" s="83"/>
      <c r="B24" s="86"/>
      <c r="C24" s="88" t="s">
        <v>33</v>
      </c>
      <c r="D24" s="1" t="s">
        <v>35</v>
      </c>
      <c r="E24" s="1"/>
      <c r="F24" s="1" t="s">
        <v>1</v>
      </c>
      <c r="G24" s="1">
        <v>2</v>
      </c>
      <c r="H24" s="1" t="s">
        <v>2</v>
      </c>
      <c r="I24" s="1" t="s">
        <v>37</v>
      </c>
      <c r="J24" s="2" t="s">
        <v>3</v>
      </c>
      <c r="K24" s="2" t="s">
        <v>54</v>
      </c>
      <c r="L24" s="76" t="s">
        <v>82</v>
      </c>
    </row>
    <row r="25" spans="1:12">
      <c r="A25" s="83"/>
      <c r="B25" s="86"/>
      <c r="C25" s="88"/>
      <c r="D25" s="1" t="s">
        <v>10</v>
      </c>
      <c r="E25" s="1"/>
      <c r="F25" s="1" t="s">
        <v>1</v>
      </c>
      <c r="G25" s="1">
        <v>200</v>
      </c>
      <c r="H25" s="1" t="s">
        <v>2</v>
      </c>
      <c r="I25" s="1" t="s">
        <v>17</v>
      </c>
      <c r="J25" s="2" t="s">
        <v>18</v>
      </c>
      <c r="K25" s="2"/>
      <c r="L25" s="77"/>
    </row>
    <row r="26" spans="1:12" ht="136">
      <c r="A26" s="83"/>
      <c r="B26" s="86"/>
      <c r="C26" s="88" t="s">
        <v>34</v>
      </c>
      <c r="D26" s="1" t="s">
        <v>12</v>
      </c>
      <c r="E26" s="1"/>
      <c r="F26" s="1" t="s">
        <v>13</v>
      </c>
      <c r="G26" s="1">
        <v>4</v>
      </c>
      <c r="H26" s="1" t="s">
        <v>2</v>
      </c>
      <c r="I26" s="1" t="s">
        <v>14</v>
      </c>
      <c r="J26" s="2" t="s">
        <v>55</v>
      </c>
      <c r="K26" s="5" t="s">
        <v>41</v>
      </c>
      <c r="L26" s="66" t="s">
        <v>81</v>
      </c>
    </row>
    <row r="27" spans="1:12">
      <c r="A27" s="83"/>
      <c r="B27" s="86"/>
      <c r="C27" s="88"/>
      <c r="D27" s="1" t="s">
        <v>15</v>
      </c>
      <c r="E27" s="1"/>
      <c r="F27" s="1" t="s">
        <v>1</v>
      </c>
      <c r="G27" s="1">
        <v>500</v>
      </c>
      <c r="H27" s="1"/>
      <c r="I27" s="1" t="s">
        <v>56</v>
      </c>
      <c r="J27" s="2" t="s">
        <v>62</v>
      </c>
      <c r="K27" s="3" t="s">
        <v>42</v>
      </c>
      <c r="L27" s="67"/>
    </row>
    <row r="28" spans="1:12">
      <c r="A28" s="83"/>
      <c r="B28" s="86"/>
      <c r="C28" s="88"/>
      <c r="D28" s="70" t="s">
        <v>83</v>
      </c>
      <c r="E28" s="6" t="s">
        <v>66</v>
      </c>
      <c r="F28" s="1" t="s">
        <v>1</v>
      </c>
      <c r="G28" s="1">
        <v>50</v>
      </c>
      <c r="H28" s="1" t="s">
        <v>2</v>
      </c>
      <c r="I28" s="1" t="s">
        <v>67</v>
      </c>
      <c r="J28" s="3"/>
      <c r="K28" s="2"/>
      <c r="L28" s="67"/>
    </row>
    <row r="29" spans="1:12">
      <c r="A29" s="83"/>
      <c r="B29" s="86"/>
      <c r="C29" s="88"/>
      <c r="D29" s="71"/>
      <c r="E29" s="6" t="s">
        <v>80</v>
      </c>
      <c r="F29" s="1" t="s">
        <v>1</v>
      </c>
      <c r="G29" s="1">
        <v>100</v>
      </c>
      <c r="H29" s="1" t="s">
        <v>2</v>
      </c>
      <c r="I29" s="1" t="s">
        <v>72</v>
      </c>
      <c r="J29" s="2"/>
      <c r="K29" s="2"/>
      <c r="L29" s="67"/>
    </row>
    <row r="30" spans="1:12">
      <c r="A30" s="83"/>
      <c r="B30" s="86"/>
      <c r="C30" s="88"/>
      <c r="D30" s="71"/>
      <c r="E30" s="6" t="s">
        <v>69</v>
      </c>
      <c r="F30" s="1" t="s">
        <v>13</v>
      </c>
      <c r="G30" s="1">
        <v>4</v>
      </c>
      <c r="H30" s="1" t="s">
        <v>2</v>
      </c>
      <c r="I30" s="1" t="s">
        <v>73</v>
      </c>
      <c r="J30" s="2" t="s">
        <v>79</v>
      </c>
      <c r="K30" s="2"/>
      <c r="L30" s="67"/>
    </row>
    <row r="31" spans="1:12">
      <c r="A31" s="83"/>
      <c r="B31" s="86"/>
      <c r="C31" s="88"/>
      <c r="D31" s="71"/>
      <c r="E31" s="6" t="s">
        <v>70</v>
      </c>
      <c r="F31" s="1" t="s">
        <v>13</v>
      </c>
      <c r="G31" s="1">
        <v>4</v>
      </c>
      <c r="H31" s="1" t="s">
        <v>2</v>
      </c>
      <c r="I31" s="1" t="s">
        <v>74</v>
      </c>
      <c r="J31" s="3" t="s">
        <v>78</v>
      </c>
      <c r="K31" s="2"/>
      <c r="L31" s="67"/>
    </row>
    <row r="32" spans="1:12" ht="17.5" thickBot="1">
      <c r="A32" s="84"/>
      <c r="B32" s="87"/>
      <c r="C32" s="89"/>
      <c r="D32" s="72"/>
      <c r="E32" s="11" t="s">
        <v>71</v>
      </c>
      <c r="F32" s="8" t="s">
        <v>1</v>
      </c>
      <c r="G32" s="8">
        <v>20</v>
      </c>
      <c r="H32" s="8" t="s">
        <v>2</v>
      </c>
      <c r="I32" s="8" t="s">
        <v>75</v>
      </c>
      <c r="J32" s="10" t="s">
        <v>77</v>
      </c>
      <c r="K32" s="9" t="s">
        <v>76</v>
      </c>
      <c r="L32" s="68"/>
    </row>
  </sheetData>
  <mergeCells count="24">
    <mergeCell ref="A12:A22"/>
    <mergeCell ref="B12:B22"/>
    <mergeCell ref="C18:C22"/>
    <mergeCell ref="D20:D22"/>
    <mergeCell ref="A4:A11"/>
    <mergeCell ref="B4:B11"/>
    <mergeCell ref="C5:C9"/>
    <mergeCell ref="C10:C11"/>
    <mergeCell ref="L26:L32"/>
    <mergeCell ref="D23:L23"/>
    <mergeCell ref="D28:D32"/>
    <mergeCell ref="A1:L1"/>
    <mergeCell ref="L18:L22"/>
    <mergeCell ref="D4:L4"/>
    <mergeCell ref="D12:L12"/>
    <mergeCell ref="A23:A32"/>
    <mergeCell ref="B23:B32"/>
    <mergeCell ref="C24:C25"/>
    <mergeCell ref="L24:L25"/>
    <mergeCell ref="C26:C32"/>
    <mergeCell ref="C13:C17"/>
    <mergeCell ref="L5:L9"/>
    <mergeCell ref="L10:L11"/>
    <mergeCell ref="L13:L17"/>
  </mergeCells>
  <phoneticPr fontId="3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4</vt:i4>
      </vt:variant>
    </vt:vector>
  </HeadingPairs>
  <TitlesOfParts>
    <vt:vector size="4" baseType="lpstr">
      <vt:lpstr>API목록</vt:lpstr>
      <vt:lpstr>API연동규격</vt:lpstr>
      <vt:lpstr>코드</vt:lpstr>
      <vt:lpstr>샘플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banet</dc:creator>
  <cp:lastModifiedBy>flora-cho</cp:lastModifiedBy>
  <dcterms:created xsi:type="dcterms:W3CDTF">2020-08-27T00:39:46Z</dcterms:created>
  <dcterms:modified xsi:type="dcterms:W3CDTF">2021-08-09T15:00:34Z</dcterms:modified>
</cp:coreProperties>
</file>